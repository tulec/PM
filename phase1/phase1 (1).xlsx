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sazo\Desktop\"/>
    </mc:Choice>
  </mc:AlternateContent>
  <xr:revisionPtr revIDLastSave="0" documentId="8_{2C3BFD49-5EF8-4048-BD9D-EC176C4E9C0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verview" sheetId="1" r:id="rId1"/>
    <sheet name="FuzzyInput" sheetId="2" r:id="rId2"/>
    <sheet name="FuzzyTOPSIS" sheetId="3" r:id="rId3"/>
    <sheet name="AHP" sheetId="4" r:id="rId4"/>
    <sheet name="Summary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" l="1"/>
  <c r="D15" i="3"/>
  <c r="D22" i="3"/>
  <c r="B28" i="3"/>
  <c r="B23" i="3"/>
  <c r="C15" i="3"/>
  <c r="B15" i="3"/>
  <c r="B22" i="3"/>
  <c r="B14" i="3"/>
  <c r="B21" i="3"/>
  <c r="B16" i="3"/>
  <c r="B17" i="3"/>
  <c r="B24" i="3"/>
  <c r="B29" i="3"/>
  <c r="C22" i="3"/>
  <c r="C29" i="3"/>
  <c r="D29" i="3"/>
  <c r="E15" i="3"/>
  <c r="E22" i="3"/>
  <c r="E14" i="3"/>
  <c r="E21" i="3"/>
  <c r="E16" i="3"/>
  <c r="E23" i="3"/>
  <c r="E17" i="3"/>
  <c r="E24" i="3"/>
  <c r="E29" i="3"/>
  <c r="F15" i="3"/>
  <c r="F22" i="3"/>
  <c r="F29" i="3"/>
  <c r="G15" i="3"/>
  <c r="G22" i="3"/>
  <c r="G29" i="3"/>
  <c r="H15" i="3"/>
  <c r="H22" i="3"/>
  <c r="H14" i="3"/>
  <c r="H21" i="3"/>
  <c r="H16" i="3"/>
  <c r="H23" i="3"/>
  <c r="H17" i="3"/>
  <c r="H24" i="3"/>
  <c r="H29" i="3"/>
  <c r="I15" i="3"/>
  <c r="I22" i="3"/>
  <c r="I29" i="3"/>
  <c r="J15" i="3"/>
  <c r="J22" i="3"/>
  <c r="J29" i="3"/>
  <c r="K15" i="3"/>
  <c r="K22" i="3"/>
  <c r="K14" i="3"/>
  <c r="K21" i="3"/>
  <c r="K16" i="3"/>
  <c r="K23" i="3"/>
  <c r="K17" i="3"/>
  <c r="K24" i="3"/>
  <c r="K29" i="3"/>
  <c r="L15" i="3"/>
  <c r="L22" i="3"/>
  <c r="L29" i="3"/>
  <c r="M15" i="3"/>
  <c r="M22" i="3"/>
  <c r="M29" i="3"/>
  <c r="C33" i="3"/>
  <c r="D14" i="3"/>
  <c r="D21" i="3"/>
  <c r="D16" i="3"/>
  <c r="D23" i="3"/>
  <c r="D17" i="3"/>
  <c r="D24" i="3"/>
  <c r="C28" i="3"/>
  <c r="D28" i="3"/>
  <c r="G14" i="3"/>
  <c r="G21" i="3"/>
  <c r="G16" i="3"/>
  <c r="G23" i="3"/>
  <c r="G17" i="3"/>
  <c r="G24" i="3"/>
  <c r="E28" i="3"/>
  <c r="F28" i="3"/>
  <c r="G28" i="3"/>
  <c r="J14" i="3"/>
  <c r="J21" i="3"/>
  <c r="J16" i="3"/>
  <c r="J23" i="3"/>
  <c r="J17" i="3"/>
  <c r="J24" i="3"/>
  <c r="H28" i="3"/>
  <c r="I28" i="3"/>
  <c r="J28" i="3"/>
  <c r="M14" i="3"/>
  <c r="M21" i="3"/>
  <c r="M16" i="3"/>
  <c r="M23" i="3"/>
  <c r="M17" i="3"/>
  <c r="M24" i="3"/>
  <c r="K28" i="3"/>
  <c r="L28" i="3"/>
  <c r="M28" i="3"/>
  <c r="B33" i="3"/>
  <c r="D33" i="3"/>
  <c r="C14" i="3"/>
  <c r="C21" i="3"/>
  <c r="F14" i="3"/>
  <c r="F21" i="3"/>
  <c r="I14" i="3"/>
  <c r="I21" i="3"/>
  <c r="L14" i="3"/>
  <c r="L21" i="3"/>
  <c r="C32" i="3"/>
  <c r="B32" i="3"/>
  <c r="D32" i="3"/>
  <c r="C16" i="3"/>
  <c r="C23" i="3"/>
  <c r="F16" i="3"/>
  <c r="F23" i="3"/>
  <c r="I16" i="3"/>
  <c r="I23" i="3"/>
  <c r="L16" i="3"/>
  <c r="L23" i="3"/>
  <c r="C34" i="3"/>
  <c r="B34" i="3"/>
  <c r="D34" i="3"/>
  <c r="C17" i="3"/>
  <c r="C24" i="3"/>
  <c r="F17" i="3"/>
  <c r="F24" i="3"/>
  <c r="I17" i="3"/>
  <c r="I24" i="3"/>
  <c r="L17" i="3"/>
  <c r="L24" i="3"/>
  <c r="C35" i="3"/>
  <c r="B35" i="3"/>
  <c r="D35" i="3"/>
  <c r="E33" i="3"/>
  <c r="E34" i="3"/>
  <c r="E35" i="3"/>
  <c r="E32" i="3"/>
  <c r="B29" i="4"/>
  <c r="C29" i="4"/>
  <c r="D29" i="4"/>
  <c r="E29" i="4"/>
  <c r="B13" i="4"/>
  <c r="C13" i="4"/>
  <c r="D13" i="4"/>
  <c r="E13" i="4"/>
  <c r="F13" i="4"/>
  <c r="B14" i="4"/>
  <c r="C14" i="4"/>
  <c r="D14" i="4"/>
  <c r="E14" i="4"/>
  <c r="F14" i="4"/>
  <c r="B15" i="4"/>
  <c r="C15" i="4"/>
  <c r="D15" i="4"/>
  <c r="E15" i="4"/>
  <c r="F15" i="4"/>
  <c r="B16" i="4"/>
  <c r="C16" i="4"/>
  <c r="D16" i="4"/>
  <c r="E16" i="4"/>
  <c r="F16" i="4"/>
  <c r="F29" i="4"/>
  <c r="B28" i="4"/>
  <c r="C28" i="4"/>
  <c r="D28" i="4"/>
  <c r="E28" i="4"/>
  <c r="F28" i="4"/>
  <c r="B30" i="4"/>
  <c r="C30" i="4"/>
  <c r="D30" i="4"/>
  <c r="E30" i="4"/>
  <c r="F30" i="4"/>
  <c r="B31" i="4"/>
  <c r="C31" i="4"/>
  <c r="D31" i="4"/>
  <c r="E31" i="4"/>
  <c r="F31" i="4"/>
  <c r="G29" i="4"/>
  <c r="G30" i="4"/>
  <c r="G31" i="4"/>
  <c r="G28" i="4"/>
  <c r="G8" i="5"/>
  <c r="G7" i="5"/>
  <c r="G6" i="5"/>
  <c r="G5" i="5"/>
  <c r="C8" i="5"/>
  <c r="C7" i="5"/>
  <c r="C6" i="5"/>
  <c r="C5" i="5"/>
  <c r="F8" i="5"/>
  <c r="F7" i="5"/>
  <c r="F6" i="5"/>
  <c r="F5" i="5"/>
  <c r="B23" i="4"/>
  <c r="C23" i="4"/>
  <c r="B22" i="4"/>
  <c r="C22" i="4"/>
  <c r="C21" i="4"/>
  <c r="B20" i="4"/>
  <c r="C20" i="4"/>
  <c r="F20" i="4"/>
  <c r="F21" i="4"/>
  <c r="F23" i="4"/>
  <c r="B8" i="5"/>
  <c r="B7" i="5"/>
  <c r="B6" i="5"/>
  <c r="B5" i="5"/>
</calcChain>
</file>

<file path=xl/sharedStrings.xml><?xml version="1.0" encoding="utf-8"?>
<sst xmlns="http://schemas.openxmlformats.org/spreadsheetml/2006/main" count="233" uniqueCount="96">
  <si>
    <t>Фаза 1 — расчёты выбора концепции (FinMate)</t>
  </si>
  <si>
    <t>Альтернативы (концепции)</t>
  </si>
  <si>
    <t>Код</t>
  </si>
  <si>
    <t>Критерий</t>
  </si>
  <si>
    <t>Тип</t>
  </si>
  <si>
    <t>Пояснение</t>
  </si>
  <si>
    <t>A1</t>
  </si>
  <si>
    <t>C1</t>
  </si>
  <si>
    <t>Рыночный потенциал</t>
  </si>
  <si>
    <t>Benefit</t>
  </si>
  <si>
    <t>A2</t>
  </si>
  <si>
    <t>C2</t>
  </si>
  <si>
    <t>Конкурентоспособность</t>
  </si>
  <si>
    <t>A3</t>
  </si>
  <si>
    <t>C3</t>
  </si>
  <si>
    <t>Cost</t>
  </si>
  <si>
    <t>A4</t>
  </si>
  <si>
    <t>C4</t>
  </si>
  <si>
    <t>Потенциал монетизации</t>
  </si>
  <si>
    <t>Экспертные трёхточечные оценки (l / m / u)</t>
  </si>
  <si>
    <t>1) Веса критериев (треугольные числа, сумма нормируется)</t>
  </si>
  <si>
    <t>Никита l</t>
  </si>
  <si>
    <t>Никита m</t>
  </si>
  <si>
    <t>Никита u</t>
  </si>
  <si>
    <t>Среднее l</t>
  </si>
  <si>
    <t>Среднее m</t>
  </si>
  <si>
    <t>Среднее u</t>
  </si>
  <si>
    <t>Норм. m</t>
  </si>
  <si>
    <t>Норм. l</t>
  </si>
  <si>
    <t>Норм. u</t>
  </si>
  <si>
    <t>2) Оценки альтернатив по критериям (шкала 1–9; l/m/u)</t>
  </si>
  <si>
    <t>Альтернатива</t>
  </si>
  <si>
    <t>Defuzz (avg)</t>
  </si>
  <si>
    <t>Нечёткий коллективный TOPSIS (triangular l/m/u)</t>
  </si>
  <si>
    <t>Шаг 1. Агрегированная матрица решений X (l/m/u)</t>
  </si>
  <si>
    <t>C1 l</t>
  </si>
  <si>
    <t>C1 m</t>
  </si>
  <si>
    <t>C1 u</t>
  </si>
  <si>
    <t>C2 l</t>
  </si>
  <si>
    <t>C2 m</t>
  </si>
  <si>
    <t>C2 u</t>
  </si>
  <si>
    <t>C3 l</t>
  </si>
  <si>
    <t>C3 m</t>
  </si>
  <si>
    <t>C3 u</t>
  </si>
  <si>
    <t>C4 l</t>
  </si>
  <si>
    <t>C4 m</t>
  </si>
  <si>
    <t>C4 u</t>
  </si>
  <si>
    <t>Шаг 2. Нормализация R (triangular)</t>
  </si>
  <si>
    <t>Шаг 3. Взвешенная нормализация V = R ⊗ w (w берём из FuzzyInput: Norm l/m/u)</t>
  </si>
  <si>
    <t>Шаг 4–5. FPIS/FNIS и расстояния, коэффициент близости</t>
  </si>
  <si>
    <t>A* (FPIS)</t>
  </si>
  <si>
    <t>A- (FNIS)</t>
  </si>
  <si>
    <t>D* (до FPIS)</t>
  </si>
  <si>
    <t>D- (до FNIS)</t>
  </si>
  <si>
    <t>CC = D-/(D*+D-)</t>
  </si>
  <si>
    <t>Ранг</t>
  </si>
  <si>
    <t>Чёткий коллективный МАИ (AHP) — веса критериев + итоговый рейтинг</t>
  </si>
  <si>
    <t>1) Матрица попарных сравнений критериев (групповая)</t>
  </si>
  <si>
    <t>2) Нормализация и веса (среднее по строкам)</t>
  </si>
  <si>
    <t>Вес w</t>
  </si>
  <si>
    <t>3) Проверка согласованности (CI/CR)</t>
  </si>
  <si>
    <t>A*w</t>
  </si>
  <si>
    <t>(A*w)_i</t>
  </si>
  <si>
    <t>λ_i</t>
  </si>
  <si>
    <t>λ_max</t>
  </si>
  <si>
    <t>CI</t>
  </si>
  <si>
    <t>RI</t>
  </si>
  <si>
    <t>CR</t>
  </si>
  <si>
    <t>4) Итоговый рейтинг альтернатив (взвешенная сумма нормированных оценок)</t>
  </si>
  <si>
    <t>C1 score</t>
  </si>
  <si>
    <t>C2 score</t>
  </si>
  <si>
    <t>C3 score</t>
  </si>
  <si>
    <t>C4 score</t>
  </si>
  <si>
    <t>Итог</t>
  </si>
  <si>
    <t>Фаза 1 — Итоги расчётов</t>
  </si>
  <si>
    <t>TOPSIS (CC)</t>
  </si>
  <si>
    <t>AHP (итоговый балл)</t>
  </si>
  <si>
    <t>CC</t>
  </si>
  <si>
    <t>Score</t>
  </si>
  <si>
    <r>
      <t>SmartMenu AI</t>
    </r>
    <r>
      <rPr>
        <sz val="11"/>
        <color rgb="FF1F1F1F"/>
        <rFont val="Arial"/>
        <family val="2"/>
        <charset val="204"/>
      </rPr>
      <t xml:space="preserve"> (Генератор рецептов по фото продуктов)</t>
    </r>
  </si>
  <si>
    <t>Размер рынка/спрос, хайп вокруг AI, актуальность проблемы Food Waste</t>
  </si>
  <si>
    <r>
      <t>LocalGigs</t>
    </r>
    <r>
      <rPr>
        <sz val="11"/>
        <color rgb="FF1F1F1F"/>
        <rFont val="Arial"/>
        <family val="2"/>
        <charset val="204"/>
      </rPr>
      <t xml:space="preserve"> (Гиперлокальный поиск исполнителей)</t>
    </r>
  </si>
  <si>
    <t>Наличие конкурентов (Авито/Профи) и возможность выделиться (гео &lt;1км)</t>
  </si>
  <si>
    <r>
      <t>SkillMatch B2B</t>
    </r>
    <r>
      <rPr>
        <sz val="11"/>
        <color rgb="FF1F1F1F"/>
        <rFont val="Arial"/>
        <family val="2"/>
        <charset val="204"/>
      </rPr>
      <t xml:space="preserve"> (Платформа внутренней ротации кадров)</t>
    </r>
  </si>
  <si>
    <t>Сложность разработки</t>
  </si>
  <si>
    <t>Сложность реализации, риски, неопределённость, объём работ (R&amp;D)</t>
  </si>
  <si>
    <r>
      <t>EcoHabit</t>
    </r>
    <r>
      <rPr>
        <sz val="11"/>
        <color rgb="FF1F1F1F"/>
        <rFont val="Arial"/>
        <family val="2"/>
        <charset val="204"/>
      </rPr>
      <t xml:space="preserve"> (Эко-трекер с системой лояльности)</t>
    </r>
  </si>
  <si>
    <t>Возможность получать доход: подписка, комиссия с партнеров, B2B контракты</t>
  </si>
  <si>
    <t>Александр l</t>
  </si>
  <si>
    <t>Александр m</t>
  </si>
  <si>
    <t>Александр u</t>
  </si>
  <si>
    <t>Кирилл l</t>
  </si>
  <si>
    <t>Кирилл m</t>
  </si>
  <si>
    <t>Кирилл u</t>
  </si>
  <si>
    <t>Норм. коэфф.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</si>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</sst>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0" borderId="0" xfId="1" applyFont="1"/>
    <xf numFmtId="0" fontId="2" fillId="2" borderId="0" xfId="1" applyFont="1" applyFill="1"/>
    <xf numFmtId="0" fontId="0" fillId="0" borderId="1" xfId="1" applyFont="1" applyBorder="1"/>
    <xf numFmtId="0" fontId="1" fillId="0" borderId="0" xfId="1" applyFont="1"/>
    <xf numFmtId="0" fontId="0" fillId="0" borderId="0" xfId="0"/>
    <xf numFmtId="0" fontId="2" fillId="0" borderId="0" xfId="1" applyFont="1"/>
    <xf numFmtId="0" fontId="0" fillId="0" borderId="0" xfId="1" applyFont="1" applyAlignment="1">
      <alignment wrapText="1"/>
    </xf>
    <xf numFmtId="0" fontId="5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 wrapText="1" indent="1" readingOrder="1"/>
    </xf>
    <xf numFmtId="0" fontId="0" fillId="0" borderId="4" xfId="1" applyFont="1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2" fillId="0" borderId="6" xfId="1" applyFont="1" applyBorder="1"/>
    <xf numFmtId="0" fontId="0" fillId="0" borderId="8" xfId="0" applyBorder="1"/>
    <xf numFmtId="0" fontId="0" fillId="0" borderId="9" xfId="0" applyBorder="1"/>
    <xf numFmtId="0" fontId="2" fillId="0" borderId="11" xfId="1" applyFont="1" applyBorder="1"/>
    <xf numFmtId="0" fontId="0" fillId="0" borderId="10" xfId="0" applyBorder="1"/>
    <xf numFmtId="0" fontId="0" fillId="0" borderId="12" xfId="0" applyBorder="1"/>
    <xf numFmtId="0" fontId="4" fillId="0" borderId="13" xfId="0" applyFont="1" applyBorder="1" applyAlignment="1">
      <alignment horizontal="left" vertical="center" wrapText="1" indent="1" readingOrder="1"/>
    </xf>
    <xf numFmtId="0" fontId="4" fillId="0" borderId="5" xfId="0" applyFont="1" applyBorder="1" applyAlignment="1">
      <alignment horizontal="left" vertical="center" wrapText="1" indent="1" readingOrder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83" zoomScaleNormal="100" zoomScaleSheetLayoutView="100" workbookViewId="0">
      <selection activeCell="G7" sqref="G7"/>
    </sheetView>
  </sheetViews>
  <sheetFormatPr defaultRowHeight="15" x14ac:dyDescent="0.25"/>
  <cols>
    <col min="1" max="1" width="14" customWidth="1"/>
    <col min="2" max="2" width="70" customWidth="1"/>
    <col min="4" max="4" width="33" customWidth="1"/>
    <col min="5" max="5" width="30" customWidth="1"/>
    <col min="6" max="6" width="47.42578125" customWidth="1"/>
    <col min="7" max="7" width="55" customWidth="1"/>
  </cols>
  <sheetData>
    <row r="1" spans="1:8" ht="18.75" x14ac:dyDescent="0.3">
      <c r="A1" s="4" t="s">
        <v>0</v>
      </c>
      <c r="B1" s="5"/>
      <c r="C1" s="5"/>
      <c r="D1" s="5"/>
      <c r="E1" s="5"/>
      <c r="F1" s="5"/>
      <c r="G1" s="5"/>
      <c r="H1" s="5"/>
    </row>
    <row r="3" spans="1:8" ht="15.75" thickBot="1" x14ac:dyDescent="0.3">
      <c r="A3" s="1"/>
      <c r="D3" s="1"/>
    </row>
    <row r="4" spans="1:8" ht="60.75" thickBot="1" x14ac:dyDescent="0.3">
      <c r="A4" s="8" t="s">
        <v>2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2"/>
    </row>
    <row r="5" spans="1:8" ht="171.75" thickBot="1" x14ac:dyDescent="0.3">
      <c r="A5" s="8" t="s">
        <v>6</v>
      </c>
      <c r="B5" s="8" t="s">
        <v>79</v>
      </c>
      <c r="C5" s="8" t="s">
        <v>7</v>
      </c>
      <c r="D5" s="9" t="s">
        <v>8</v>
      </c>
      <c r="E5" s="9" t="s">
        <v>9</v>
      </c>
      <c r="F5" s="9" t="s">
        <v>80</v>
      </c>
      <c r="G5" s="3"/>
    </row>
    <row r="6" spans="1:8" ht="29.25" thickBot="1" x14ac:dyDescent="0.3">
      <c r="A6" s="8" t="s">
        <v>10</v>
      </c>
      <c r="B6" s="8" t="s">
        <v>81</v>
      </c>
      <c r="C6" s="8" t="s">
        <v>11</v>
      </c>
      <c r="D6" s="9" t="s">
        <v>12</v>
      </c>
      <c r="E6" s="9" t="s">
        <v>9</v>
      </c>
      <c r="F6" s="9" t="s">
        <v>82</v>
      </c>
      <c r="G6" s="3"/>
    </row>
    <row r="7" spans="1:8" ht="29.25" thickBot="1" x14ac:dyDescent="0.3">
      <c r="A7" s="8" t="s">
        <v>13</v>
      </c>
      <c r="B7" s="8" t="s">
        <v>83</v>
      </c>
      <c r="C7" s="8" t="s">
        <v>14</v>
      </c>
      <c r="D7" s="9" t="s">
        <v>84</v>
      </c>
      <c r="E7" s="9" t="s">
        <v>15</v>
      </c>
      <c r="F7" s="21" t="s">
        <v>85</v>
      </c>
      <c r="G7" s="11"/>
    </row>
    <row r="8" spans="1:8" ht="29.25" thickBot="1" x14ac:dyDescent="0.3">
      <c r="A8" s="8" t="s">
        <v>16</v>
      </c>
      <c r="B8" s="8" t="s">
        <v>86</v>
      </c>
      <c r="C8" s="8" t="s">
        <v>17</v>
      </c>
      <c r="D8" s="9" t="s">
        <v>18</v>
      </c>
      <c r="E8" s="10" t="s">
        <v>9</v>
      </c>
      <c r="F8" s="22" t="s">
        <v>87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"/>
  <sheetViews>
    <sheetView zoomScaleNormal="100" zoomScaleSheetLayoutView="100" workbookViewId="0">
      <selection activeCell="L13" sqref="L13"/>
    </sheetView>
  </sheetViews>
  <sheetFormatPr defaultRowHeight="15" x14ac:dyDescent="0.25"/>
  <cols>
    <col min="1" max="1" width="13.28515625" customWidth="1"/>
    <col min="2" max="2" width="12" customWidth="1"/>
    <col min="3" max="15" width="10" customWidth="1"/>
    <col min="16" max="16" width="12" customWidth="1"/>
  </cols>
  <sheetData>
    <row r="1" spans="1:16" ht="18.75" x14ac:dyDescent="0.3">
      <c r="A1" s="4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6" ht="10.5" customHeight="1" thickBot="1" x14ac:dyDescent="0.3">
      <c r="A3" s="1" t="s">
        <v>20</v>
      </c>
    </row>
    <row r="4" spans="1:16" ht="31.5" customHeight="1" thickBot="1" x14ac:dyDescent="0.3">
      <c r="A4" s="8" t="s">
        <v>3</v>
      </c>
      <c r="B4" s="8" t="s">
        <v>21</v>
      </c>
      <c r="C4" s="8" t="s">
        <v>22</v>
      </c>
      <c r="D4" s="8" t="s">
        <v>23</v>
      </c>
      <c r="E4" s="8" t="s">
        <v>88</v>
      </c>
      <c r="F4" s="8" t="s">
        <v>89</v>
      </c>
      <c r="G4" s="8" t="s">
        <v>90</v>
      </c>
      <c r="H4" s="8" t="s">
        <v>91</v>
      </c>
      <c r="I4" s="8" t="s">
        <v>92</v>
      </c>
      <c r="J4" s="8" t="s">
        <v>93</v>
      </c>
      <c r="K4" s="8" t="s">
        <v>24</v>
      </c>
      <c r="L4" s="8" t="s">
        <v>25</v>
      </c>
      <c r="M4" s="8" t="s">
        <v>26</v>
      </c>
      <c r="N4" s="8" t="s">
        <v>27</v>
      </c>
      <c r="O4" s="8" t="s">
        <v>28</v>
      </c>
      <c r="P4" s="8" t="s">
        <v>29</v>
      </c>
    </row>
    <row r="5" spans="1:16" ht="15.75" thickBot="1" x14ac:dyDescent="0.3">
      <c r="A5" s="9" t="s">
        <v>7</v>
      </c>
      <c r="B5" s="9">
        <v>0.3</v>
      </c>
      <c r="C5" s="9">
        <v>0.35</v>
      </c>
      <c r="D5" s="9">
        <v>0.4</v>
      </c>
      <c r="E5" s="9">
        <v>0.28000000000000003</v>
      </c>
      <c r="F5" s="9">
        <v>0.35</v>
      </c>
      <c r="G5" s="9">
        <v>0.42</v>
      </c>
      <c r="H5" s="9">
        <v>0.32</v>
      </c>
      <c r="I5" s="9">
        <v>0.35</v>
      </c>
      <c r="J5" s="9">
        <v>0.38</v>
      </c>
      <c r="K5" s="9">
        <v>0.3</v>
      </c>
      <c r="L5" s="9">
        <v>0.35</v>
      </c>
      <c r="M5" s="9">
        <v>0.4</v>
      </c>
      <c r="N5" s="9">
        <v>0.35</v>
      </c>
      <c r="O5" s="9">
        <v>0.3</v>
      </c>
      <c r="P5" s="9">
        <v>0.4</v>
      </c>
    </row>
    <row r="6" spans="1:16" ht="15.75" thickBot="1" x14ac:dyDescent="0.3">
      <c r="A6" s="9" t="s">
        <v>11</v>
      </c>
      <c r="B6" s="9">
        <v>0.2</v>
      </c>
      <c r="C6" s="9">
        <v>0.25</v>
      </c>
      <c r="D6" s="9">
        <v>0.3</v>
      </c>
      <c r="E6" s="9">
        <v>0.22</v>
      </c>
      <c r="F6" s="9">
        <v>0.25</v>
      </c>
      <c r="G6" s="9">
        <v>0.28000000000000003</v>
      </c>
      <c r="H6" s="9">
        <v>0.21</v>
      </c>
      <c r="I6" s="9">
        <v>0.25</v>
      </c>
      <c r="J6" s="9">
        <v>0.28999999999999998</v>
      </c>
      <c r="K6" s="9">
        <v>0.21</v>
      </c>
      <c r="L6" s="9">
        <v>0.25</v>
      </c>
      <c r="M6" s="9">
        <v>0.28999999999999998</v>
      </c>
      <c r="N6" s="9">
        <v>0.25</v>
      </c>
      <c r="O6" s="9">
        <v>0.21</v>
      </c>
      <c r="P6" s="9">
        <v>0.28999999999999998</v>
      </c>
    </row>
    <row r="7" spans="1:16" ht="15.75" thickBot="1" x14ac:dyDescent="0.3">
      <c r="A7" s="9" t="s">
        <v>14</v>
      </c>
      <c r="B7" s="9">
        <v>0.1</v>
      </c>
      <c r="C7" s="9">
        <v>0.15</v>
      </c>
      <c r="D7" s="9">
        <v>0.2</v>
      </c>
      <c r="E7" s="9">
        <v>0.12</v>
      </c>
      <c r="F7" s="9">
        <v>0.15</v>
      </c>
      <c r="G7" s="9">
        <v>0.18</v>
      </c>
      <c r="H7" s="9">
        <v>0.11</v>
      </c>
      <c r="I7" s="9">
        <v>0.15</v>
      </c>
      <c r="J7" s="9">
        <v>0.19</v>
      </c>
      <c r="K7" s="9">
        <v>0.11</v>
      </c>
      <c r="L7" s="9">
        <v>0.15</v>
      </c>
      <c r="M7" s="9">
        <v>0.19</v>
      </c>
      <c r="N7" s="9">
        <v>0.15</v>
      </c>
      <c r="O7" s="9">
        <v>0.11</v>
      </c>
      <c r="P7" s="9">
        <v>0.19</v>
      </c>
    </row>
    <row r="8" spans="1:16" ht="15.75" thickBot="1" x14ac:dyDescent="0.3">
      <c r="A8" s="9" t="s">
        <v>17</v>
      </c>
      <c r="B8" s="9">
        <v>0.2</v>
      </c>
      <c r="C8" s="9">
        <v>0.25</v>
      </c>
      <c r="D8" s="9">
        <v>0.3</v>
      </c>
      <c r="E8" s="9">
        <v>0.23</v>
      </c>
      <c r="F8" s="9">
        <v>0.25</v>
      </c>
      <c r="G8" s="9">
        <v>0.27</v>
      </c>
      <c r="H8" s="9">
        <v>0.22</v>
      </c>
      <c r="I8" s="9">
        <v>0.25</v>
      </c>
      <c r="J8" s="9">
        <v>0.28000000000000003</v>
      </c>
      <c r="K8" s="9">
        <v>0.217</v>
      </c>
      <c r="L8" s="9">
        <v>0.25</v>
      </c>
      <c r="M8" s="9">
        <v>0.28299999999999997</v>
      </c>
      <c r="N8" s="9">
        <v>0.25</v>
      </c>
      <c r="O8" s="9">
        <v>0.217</v>
      </c>
      <c r="P8" s="9">
        <v>0.28299999999999997</v>
      </c>
    </row>
    <row r="11" spans="1:16" ht="15.75" thickBot="1" x14ac:dyDescent="0.3">
      <c r="A11" s="6" t="s">
        <v>30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6" ht="30.75" thickBot="1" x14ac:dyDescent="0.3">
      <c r="A12" s="8" t="s">
        <v>3</v>
      </c>
      <c r="B12" s="8" t="s">
        <v>31</v>
      </c>
      <c r="C12" s="8" t="s">
        <v>21</v>
      </c>
      <c r="D12" s="8" t="s">
        <v>22</v>
      </c>
      <c r="E12" s="8" t="s">
        <v>23</v>
      </c>
      <c r="F12" s="8" t="s">
        <v>88</v>
      </c>
      <c r="G12" s="8" t="s">
        <v>89</v>
      </c>
      <c r="H12" s="8" t="s">
        <v>90</v>
      </c>
      <c r="I12" s="8" t="s">
        <v>91</v>
      </c>
      <c r="J12" s="8" t="s">
        <v>92</v>
      </c>
      <c r="K12" s="8" t="s">
        <v>93</v>
      </c>
      <c r="L12" s="8" t="s">
        <v>24</v>
      </c>
      <c r="M12" s="8" t="s">
        <v>25</v>
      </c>
      <c r="N12" s="8" t="s">
        <v>26</v>
      </c>
      <c r="O12" s="8" t="s">
        <v>32</v>
      </c>
    </row>
    <row r="13" spans="1:16" ht="15.75" thickBot="1" x14ac:dyDescent="0.3">
      <c r="A13" s="9" t="s">
        <v>7</v>
      </c>
      <c r="B13" s="9" t="s">
        <v>6</v>
      </c>
      <c r="C13" s="9">
        <v>8</v>
      </c>
      <c r="D13" s="9">
        <v>9</v>
      </c>
      <c r="E13" s="9">
        <v>9.5</v>
      </c>
      <c r="F13" s="9">
        <v>8.5</v>
      </c>
      <c r="G13" s="9">
        <v>9</v>
      </c>
      <c r="H13" s="9">
        <v>9.5</v>
      </c>
      <c r="I13" s="9">
        <v>8</v>
      </c>
      <c r="J13" s="9">
        <v>8.5</v>
      </c>
      <c r="K13" s="9">
        <v>9</v>
      </c>
      <c r="L13" s="9">
        <v>8.17</v>
      </c>
      <c r="M13" s="9">
        <v>8.83</v>
      </c>
      <c r="N13" s="9">
        <v>9.33</v>
      </c>
      <c r="O13" s="9">
        <v>8.7799999999999994</v>
      </c>
    </row>
    <row r="14" spans="1:16" ht="15.75" thickBot="1" x14ac:dyDescent="0.3">
      <c r="A14" s="9" t="s">
        <v>7</v>
      </c>
      <c r="B14" s="9" t="s">
        <v>10</v>
      </c>
      <c r="C14" s="9">
        <v>5</v>
      </c>
      <c r="D14" s="9">
        <v>6</v>
      </c>
      <c r="E14" s="9">
        <v>7</v>
      </c>
      <c r="F14" s="9">
        <v>5.5</v>
      </c>
      <c r="G14" s="9">
        <v>6.5</v>
      </c>
      <c r="H14" s="9">
        <v>7</v>
      </c>
      <c r="I14" s="9">
        <v>5</v>
      </c>
      <c r="J14" s="9">
        <v>6</v>
      </c>
      <c r="K14" s="9">
        <v>6.5</v>
      </c>
      <c r="L14" s="9">
        <v>5.17</v>
      </c>
      <c r="M14" s="9">
        <v>6.17</v>
      </c>
      <c r="N14" s="9">
        <v>6.83</v>
      </c>
      <c r="O14" s="9">
        <v>6.06</v>
      </c>
    </row>
    <row r="15" spans="1:16" ht="15.75" thickBot="1" x14ac:dyDescent="0.3">
      <c r="A15" s="9" t="s">
        <v>7</v>
      </c>
      <c r="B15" s="9" t="s">
        <v>13</v>
      </c>
      <c r="C15" s="9">
        <v>4</v>
      </c>
      <c r="D15" s="9">
        <v>5</v>
      </c>
      <c r="E15" s="9">
        <v>6</v>
      </c>
      <c r="F15" s="9">
        <v>4.5</v>
      </c>
      <c r="G15" s="9">
        <v>5</v>
      </c>
      <c r="H15" s="9">
        <v>6</v>
      </c>
      <c r="I15" s="9">
        <v>4</v>
      </c>
      <c r="J15" s="9">
        <v>5</v>
      </c>
      <c r="K15" s="9">
        <v>5.5</v>
      </c>
      <c r="L15" s="9">
        <v>4.17</v>
      </c>
      <c r="M15" s="9">
        <v>5</v>
      </c>
      <c r="N15" s="9">
        <v>5.83</v>
      </c>
      <c r="O15" s="9">
        <v>5</v>
      </c>
    </row>
    <row r="16" spans="1:16" ht="15.75" thickBot="1" x14ac:dyDescent="0.3">
      <c r="A16" s="9" t="s">
        <v>7</v>
      </c>
      <c r="B16" s="9" t="s">
        <v>16</v>
      </c>
      <c r="C16" s="9">
        <v>6.5</v>
      </c>
      <c r="D16" s="9">
        <v>7.5</v>
      </c>
      <c r="E16" s="9">
        <v>8</v>
      </c>
      <c r="F16" s="9">
        <v>6</v>
      </c>
      <c r="G16" s="9">
        <v>7</v>
      </c>
      <c r="H16" s="9">
        <v>8</v>
      </c>
      <c r="I16" s="9">
        <v>6.5</v>
      </c>
      <c r="J16" s="9">
        <v>7</v>
      </c>
      <c r="K16" s="9">
        <v>7.5</v>
      </c>
      <c r="L16" s="9">
        <v>6.33</v>
      </c>
      <c r="M16" s="9">
        <v>7.17</v>
      </c>
      <c r="N16" s="9">
        <v>7.83</v>
      </c>
      <c r="O16" s="9">
        <v>7.11</v>
      </c>
    </row>
    <row r="17" spans="1:15" ht="15.75" thickBot="1" x14ac:dyDescent="0.3">
      <c r="A17" s="9" t="s">
        <v>11</v>
      </c>
      <c r="B17" s="9" t="s">
        <v>6</v>
      </c>
      <c r="C17" s="9">
        <v>7.5</v>
      </c>
      <c r="D17" s="9">
        <v>8.5</v>
      </c>
      <c r="E17" s="9">
        <v>9</v>
      </c>
      <c r="F17" s="9">
        <v>8</v>
      </c>
      <c r="G17" s="9">
        <v>9</v>
      </c>
      <c r="H17" s="9">
        <v>9.5</v>
      </c>
      <c r="I17" s="9">
        <v>7.5</v>
      </c>
      <c r="J17" s="9">
        <v>8</v>
      </c>
      <c r="K17" s="9">
        <v>9</v>
      </c>
      <c r="L17" s="9">
        <v>7.67</v>
      </c>
      <c r="M17" s="9">
        <v>8.5</v>
      </c>
      <c r="N17" s="9">
        <v>9.17</v>
      </c>
      <c r="O17" s="9">
        <v>8.44</v>
      </c>
    </row>
    <row r="18" spans="1:15" ht="15.75" thickBot="1" x14ac:dyDescent="0.3">
      <c r="A18" s="9" t="s">
        <v>11</v>
      </c>
      <c r="B18" s="9" t="s">
        <v>10</v>
      </c>
      <c r="C18" s="9">
        <v>4.5</v>
      </c>
      <c r="D18" s="9">
        <v>5.5</v>
      </c>
      <c r="E18" s="9">
        <v>6.5</v>
      </c>
      <c r="F18" s="9">
        <v>5</v>
      </c>
      <c r="G18" s="9">
        <v>6</v>
      </c>
      <c r="H18" s="9">
        <v>6.5</v>
      </c>
      <c r="I18" s="9">
        <v>4.5</v>
      </c>
      <c r="J18" s="9">
        <v>5.5</v>
      </c>
      <c r="K18" s="9">
        <v>6</v>
      </c>
      <c r="L18" s="9">
        <v>4.67</v>
      </c>
      <c r="M18" s="9">
        <v>5.67</v>
      </c>
      <c r="N18" s="9">
        <v>6.33</v>
      </c>
      <c r="O18" s="9">
        <v>5.56</v>
      </c>
    </row>
    <row r="19" spans="1:15" ht="15.75" thickBot="1" x14ac:dyDescent="0.3">
      <c r="A19" s="9" t="s">
        <v>11</v>
      </c>
      <c r="B19" s="9" t="s">
        <v>13</v>
      </c>
      <c r="C19" s="9">
        <v>3.5</v>
      </c>
      <c r="D19" s="9">
        <v>4.5</v>
      </c>
      <c r="E19" s="9">
        <v>5.5</v>
      </c>
      <c r="F19" s="9">
        <v>4</v>
      </c>
      <c r="G19" s="9">
        <v>5</v>
      </c>
      <c r="H19" s="9">
        <v>5.5</v>
      </c>
      <c r="I19" s="9">
        <v>4</v>
      </c>
      <c r="J19" s="9">
        <v>4.5</v>
      </c>
      <c r="K19" s="9">
        <v>5</v>
      </c>
      <c r="L19" s="9">
        <v>3.83</v>
      </c>
      <c r="M19" s="9">
        <v>4.67</v>
      </c>
      <c r="N19" s="9">
        <v>5.33</v>
      </c>
      <c r="O19" s="9">
        <v>4.6100000000000003</v>
      </c>
    </row>
    <row r="20" spans="1:15" ht="15.75" thickBot="1" x14ac:dyDescent="0.3">
      <c r="A20" s="9" t="s">
        <v>11</v>
      </c>
      <c r="B20" s="9" t="s">
        <v>16</v>
      </c>
      <c r="C20" s="9">
        <v>6</v>
      </c>
      <c r="D20" s="9">
        <v>7</v>
      </c>
      <c r="E20" s="9">
        <v>8</v>
      </c>
      <c r="F20" s="9">
        <v>6.5</v>
      </c>
      <c r="G20" s="9">
        <v>7.5</v>
      </c>
      <c r="H20" s="9">
        <v>8</v>
      </c>
      <c r="I20" s="9">
        <v>6</v>
      </c>
      <c r="J20" s="9">
        <v>7</v>
      </c>
      <c r="K20" s="9">
        <v>7.5</v>
      </c>
      <c r="L20" s="9">
        <v>6.17</v>
      </c>
      <c r="M20" s="9">
        <v>7.17</v>
      </c>
      <c r="N20" s="9">
        <v>7.83</v>
      </c>
      <c r="O20" s="9">
        <v>7.06</v>
      </c>
    </row>
    <row r="21" spans="1:15" ht="15.75" thickBot="1" x14ac:dyDescent="0.3">
      <c r="A21" s="9" t="s">
        <v>14</v>
      </c>
      <c r="B21" s="9" t="s">
        <v>6</v>
      </c>
      <c r="C21" s="9">
        <v>8</v>
      </c>
      <c r="D21" s="9">
        <v>9</v>
      </c>
      <c r="E21" s="9">
        <v>9.5</v>
      </c>
      <c r="F21" s="9">
        <v>8.5</v>
      </c>
      <c r="G21" s="9">
        <v>9.5</v>
      </c>
      <c r="H21" s="9">
        <v>10</v>
      </c>
      <c r="I21" s="9">
        <v>8</v>
      </c>
      <c r="J21" s="9">
        <v>9</v>
      </c>
      <c r="K21" s="9">
        <v>9.5</v>
      </c>
      <c r="L21" s="9">
        <v>8.17</v>
      </c>
      <c r="M21" s="9">
        <v>9.17</v>
      </c>
      <c r="N21" s="9">
        <v>9.67</v>
      </c>
      <c r="O21" s="9">
        <v>9</v>
      </c>
    </row>
    <row r="22" spans="1:15" ht="15.75" thickBot="1" x14ac:dyDescent="0.3">
      <c r="A22" s="9" t="s">
        <v>14</v>
      </c>
      <c r="B22" s="9" t="s">
        <v>10</v>
      </c>
      <c r="C22" s="9">
        <v>5.5</v>
      </c>
      <c r="D22" s="9">
        <v>6.5</v>
      </c>
      <c r="E22" s="9">
        <v>7.5</v>
      </c>
      <c r="F22" s="9">
        <v>6</v>
      </c>
      <c r="G22" s="9">
        <v>7</v>
      </c>
      <c r="H22" s="9">
        <v>7.5</v>
      </c>
      <c r="I22" s="9">
        <v>5.5</v>
      </c>
      <c r="J22" s="9">
        <v>6.5</v>
      </c>
      <c r="K22" s="9">
        <v>7</v>
      </c>
      <c r="L22" s="9">
        <v>5.67</v>
      </c>
      <c r="M22" s="9">
        <v>6.67</v>
      </c>
      <c r="N22" s="9">
        <v>7.33</v>
      </c>
      <c r="O22" s="9">
        <v>6.56</v>
      </c>
    </row>
    <row r="23" spans="1:15" ht="15.75" thickBot="1" x14ac:dyDescent="0.3">
      <c r="A23" s="9" t="s">
        <v>14</v>
      </c>
      <c r="B23" s="9" t="s">
        <v>13</v>
      </c>
      <c r="C23" s="9">
        <v>4.5</v>
      </c>
      <c r="D23" s="9">
        <v>5.5</v>
      </c>
      <c r="E23" s="9">
        <v>6.5</v>
      </c>
      <c r="F23" s="9">
        <v>4.5</v>
      </c>
      <c r="G23" s="9">
        <v>5.5</v>
      </c>
      <c r="H23" s="9">
        <v>6</v>
      </c>
      <c r="I23" s="9">
        <v>4</v>
      </c>
      <c r="J23" s="9">
        <v>5</v>
      </c>
      <c r="K23" s="9">
        <v>6</v>
      </c>
      <c r="L23" s="9">
        <v>4.33</v>
      </c>
      <c r="M23" s="9">
        <v>5.33</v>
      </c>
      <c r="N23" s="9">
        <v>6.17</v>
      </c>
      <c r="O23" s="9">
        <v>5.28</v>
      </c>
    </row>
    <row r="24" spans="1:15" ht="15.75" thickBot="1" x14ac:dyDescent="0.3">
      <c r="A24" s="9" t="s">
        <v>14</v>
      </c>
      <c r="B24" s="9" t="s">
        <v>16</v>
      </c>
      <c r="C24" s="9">
        <v>3</v>
      </c>
      <c r="D24" s="9">
        <v>4</v>
      </c>
      <c r="E24" s="9">
        <v>5</v>
      </c>
      <c r="F24" s="9">
        <v>3.5</v>
      </c>
      <c r="G24" s="9">
        <v>4.5</v>
      </c>
      <c r="H24" s="9">
        <v>5.5</v>
      </c>
      <c r="I24" s="9">
        <v>3</v>
      </c>
      <c r="J24" s="9">
        <v>4</v>
      </c>
      <c r="K24" s="9">
        <v>5</v>
      </c>
      <c r="L24" s="9">
        <v>3.17</v>
      </c>
      <c r="M24" s="9">
        <v>4.17</v>
      </c>
      <c r="N24" s="9">
        <v>5.17</v>
      </c>
      <c r="O24" s="9">
        <v>4.17</v>
      </c>
    </row>
    <row r="25" spans="1:15" ht="15.75" thickBot="1" x14ac:dyDescent="0.3">
      <c r="A25" s="9" t="s">
        <v>17</v>
      </c>
      <c r="B25" s="9" t="s">
        <v>6</v>
      </c>
      <c r="C25" s="9">
        <v>7.5</v>
      </c>
      <c r="D25" s="9">
        <v>8.5</v>
      </c>
      <c r="E25" s="9">
        <v>9.5</v>
      </c>
      <c r="F25" s="9">
        <v>8</v>
      </c>
      <c r="G25" s="9">
        <v>9</v>
      </c>
      <c r="H25" s="9">
        <v>9.5</v>
      </c>
      <c r="I25" s="9">
        <v>7.5</v>
      </c>
      <c r="J25" s="9">
        <v>8.5</v>
      </c>
      <c r="K25" s="9">
        <v>9</v>
      </c>
      <c r="L25" s="9">
        <v>7.67</v>
      </c>
      <c r="M25" s="9">
        <v>8.67</v>
      </c>
      <c r="N25" s="9">
        <v>9.33</v>
      </c>
      <c r="O25" s="9">
        <v>8.56</v>
      </c>
    </row>
    <row r="26" spans="1:15" ht="15.75" thickBot="1" x14ac:dyDescent="0.3">
      <c r="A26" s="9" t="s">
        <v>17</v>
      </c>
      <c r="B26" s="9" t="s">
        <v>10</v>
      </c>
      <c r="C26" s="9">
        <v>4</v>
      </c>
      <c r="D26" s="9">
        <v>5</v>
      </c>
      <c r="E26" s="9">
        <v>6</v>
      </c>
      <c r="F26" s="9">
        <v>4.5</v>
      </c>
      <c r="G26" s="9">
        <v>5.5</v>
      </c>
      <c r="H26" s="9">
        <v>6.5</v>
      </c>
      <c r="I26" s="9">
        <v>4</v>
      </c>
      <c r="J26" s="9">
        <v>5</v>
      </c>
      <c r="K26" s="9">
        <v>6</v>
      </c>
      <c r="L26" s="9">
        <v>4.17</v>
      </c>
      <c r="M26" s="9">
        <v>5.17</v>
      </c>
      <c r="N26" s="9">
        <v>6.17</v>
      </c>
      <c r="O26" s="9">
        <v>5.17</v>
      </c>
    </row>
    <row r="27" spans="1:15" ht="15.75" thickBot="1" x14ac:dyDescent="0.3">
      <c r="A27" s="9" t="s">
        <v>17</v>
      </c>
      <c r="B27" s="9" t="s">
        <v>13</v>
      </c>
      <c r="C27" s="9">
        <v>3.5</v>
      </c>
      <c r="D27" s="9">
        <v>4.5</v>
      </c>
      <c r="E27" s="9">
        <v>5.5</v>
      </c>
      <c r="F27" s="9">
        <v>4</v>
      </c>
      <c r="G27" s="9">
        <v>5</v>
      </c>
      <c r="H27" s="9">
        <v>6</v>
      </c>
      <c r="I27" s="9">
        <v>3.5</v>
      </c>
      <c r="J27" s="9">
        <v>4.5</v>
      </c>
      <c r="K27" s="9">
        <v>5</v>
      </c>
      <c r="L27" s="9">
        <v>3.67</v>
      </c>
      <c r="M27" s="9">
        <v>4.67</v>
      </c>
      <c r="N27" s="9">
        <v>5.5</v>
      </c>
      <c r="O27" s="9">
        <v>4.6100000000000003</v>
      </c>
    </row>
    <row r="28" spans="1:15" ht="15.75" thickBot="1" x14ac:dyDescent="0.3">
      <c r="A28" s="9" t="s">
        <v>17</v>
      </c>
      <c r="B28" s="9" t="s">
        <v>16</v>
      </c>
      <c r="C28" s="9">
        <v>6.5</v>
      </c>
      <c r="D28" s="9">
        <v>7.5</v>
      </c>
      <c r="E28" s="9">
        <v>8.5</v>
      </c>
      <c r="F28" s="9">
        <v>6</v>
      </c>
      <c r="G28" s="9">
        <v>7</v>
      </c>
      <c r="H28" s="9">
        <v>8</v>
      </c>
      <c r="I28" s="9">
        <v>6.5</v>
      </c>
      <c r="J28" s="9">
        <v>7.5</v>
      </c>
      <c r="K28" s="9">
        <v>8</v>
      </c>
      <c r="L28" s="9">
        <v>6.33</v>
      </c>
      <c r="M28" s="9">
        <v>7.33</v>
      </c>
      <c r="N28" s="9">
        <v>8.17</v>
      </c>
      <c r="O28" s="9">
        <v>7.28</v>
      </c>
    </row>
  </sheetData>
  <mergeCells count="2">
    <mergeCell ref="A11:N11"/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5"/>
  <sheetViews>
    <sheetView zoomScaleNormal="100" zoomScaleSheetLayoutView="100" workbookViewId="0">
      <selection activeCell="Q15" sqref="Q15"/>
    </sheetView>
  </sheetViews>
  <sheetFormatPr defaultRowHeight="15" x14ac:dyDescent="0.25"/>
  <cols>
    <col min="1" max="1" width="18" customWidth="1"/>
    <col min="2" max="5" width="16" customWidth="1"/>
    <col min="6" max="13" width="10" customWidth="1"/>
  </cols>
  <sheetData>
    <row r="1" spans="1:17" ht="18.75" x14ac:dyDescent="0.3">
      <c r="A1" s="4" t="s">
        <v>33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3" spans="1:17" ht="15.75" thickBot="1" x14ac:dyDescent="0.3">
      <c r="A3" s="1" t="s">
        <v>34</v>
      </c>
    </row>
    <row r="4" spans="1:17" ht="15.75" thickBot="1" x14ac:dyDescent="0.3">
      <c r="A4" s="8" t="s">
        <v>31</v>
      </c>
      <c r="B4" s="8" t="s">
        <v>35</v>
      </c>
      <c r="C4" s="8" t="s">
        <v>36</v>
      </c>
      <c r="D4" s="8" t="s">
        <v>37</v>
      </c>
      <c r="E4" s="8" t="s">
        <v>38</v>
      </c>
      <c r="F4" s="8" t="s">
        <v>39</v>
      </c>
      <c r="G4" s="8" t="s">
        <v>40</v>
      </c>
      <c r="H4" s="8" t="s">
        <v>41</v>
      </c>
      <c r="I4" s="8" t="s">
        <v>42</v>
      </c>
      <c r="J4" s="8" t="s">
        <v>43</v>
      </c>
      <c r="K4" s="8" t="s">
        <v>44</v>
      </c>
      <c r="L4" s="8" t="s">
        <v>45</v>
      </c>
      <c r="M4" s="8" t="s">
        <v>46</v>
      </c>
    </row>
    <row r="5" spans="1:17" ht="15.75" thickBot="1" x14ac:dyDescent="0.3">
      <c r="A5" s="8" t="s">
        <v>6</v>
      </c>
      <c r="B5" s="9">
        <v>8.17</v>
      </c>
      <c r="C5" s="9">
        <v>8.83</v>
      </c>
      <c r="D5" s="9">
        <v>9.33</v>
      </c>
      <c r="E5" s="9">
        <v>7.67</v>
      </c>
      <c r="F5" s="9">
        <v>8.5</v>
      </c>
      <c r="G5" s="9">
        <v>9.17</v>
      </c>
      <c r="H5" s="9">
        <v>8.17</v>
      </c>
      <c r="I5" s="9">
        <v>9.17</v>
      </c>
      <c r="J5" s="9">
        <v>9.67</v>
      </c>
      <c r="K5" s="9">
        <v>7.67</v>
      </c>
      <c r="L5" s="9">
        <v>8.67</v>
      </c>
      <c r="M5" s="9">
        <v>9.33</v>
      </c>
    </row>
    <row r="6" spans="1:17" ht="15.75" thickBot="1" x14ac:dyDescent="0.3">
      <c r="A6" s="8" t="s">
        <v>10</v>
      </c>
      <c r="B6" s="9">
        <v>5.17</v>
      </c>
      <c r="C6" s="9">
        <v>6.17</v>
      </c>
      <c r="D6" s="9">
        <v>6.83</v>
      </c>
      <c r="E6" s="9">
        <v>4.67</v>
      </c>
      <c r="F6" s="9">
        <v>5.67</v>
      </c>
      <c r="G6" s="9">
        <v>6.33</v>
      </c>
      <c r="H6" s="9">
        <v>5.67</v>
      </c>
      <c r="I6" s="9">
        <v>6.67</v>
      </c>
      <c r="J6" s="9">
        <v>7.33</v>
      </c>
      <c r="K6" s="9">
        <v>4.17</v>
      </c>
      <c r="L6" s="9">
        <v>5.17</v>
      </c>
      <c r="M6" s="9">
        <v>6.17</v>
      </c>
    </row>
    <row r="7" spans="1:17" ht="15.75" thickBot="1" x14ac:dyDescent="0.3">
      <c r="A7" s="8" t="s">
        <v>13</v>
      </c>
      <c r="B7" s="9">
        <v>4.17</v>
      </c>
      <c r="C7" s="9">
        <v>5</v>
      </c>
      <c r="D7" s="9">
        <v>5.83</v>
      </c>
      <c r="E7" s="9">
        <v>3.83</v>
      </c>
      <c r="F7" s="9">
        <v>4.67</v>
      </c>
      <c r="G7" s="9">
        <v>5.33</v>
      </c>
      <c r="H7" s="9">
        <v>4.33</v>
      </c>
      <c r="I7" s="9">
        <v>5.33</v>
      </c>
      <c r="J7" s="9">
        <v>6.17</v>
      </c>
      <c r="K7" s="9">
        <v>3.67</v>
      </c>
      <c r="L7" s="9">
        <v>4.67</v>
      </c>
      <c r="M7" s="9">
        <v>5.5</v>
      </c>
    </row>
    <row r="8" spans="1:17" ht="15.75" thickBot="1" x14ac:dyDescent="0.3">
      <c r="A8" s="8" t="s">
        <v>16</v>
      </c>
      <c r="B8" s="9">
        <v>6.33</v>
      </c>
      <c r="C8" s="9">
        <v>7.17</v>
      </c>
      <c r="D8" s="9">
        <v>7.83</v>
      </c>
      <c r="E8" s="9">
        <v>6.17</v>
      </c>
      <c r="F8" s="9">
        <v>7.17</v>
      </c>
      <c r="G8" s="9">
        <v>7.83</v>
      </c>
      <c r="H8" s="9">
        <v>3.17</v>
      </c>
      <c r="I8" s="9">
        <v>4.17</v>
      </c>
      <c r="J8" s="9">
        <v>5.17</v>
      </c>
      <c r="K8" s="9">
        <v>6.33</v>
      </c>
      <c r="L8" s="9">
        <v>7.33</v>
      </c>
      <c r="M8" s="9">
        <v>8.17</v>
      </c>
    </row>
    <row r="9" spans="1:17" ht="15.75" thickBot="1" x14ac:dyDescent="0.3">
      <c r="A9" s="8"/>
      <c r="B9" s="9"/>
      <c r="C9" s="9"/>
      <c r="D9" s="8"/>
      <c r="E9" s="9"/>
      <c r="F9" s="9"/>
      <c r="G9" s="8"/>
      <c r="H9" s="8"/>
      <c r="I9" s="9"/>
      <c r="J9" s="9"/>
      <c r="K9" s="9"/>
      <c r="L9" s="9"/>
      <c r="M9" s="8"/>
    </row>
    <row r="10" spans="1:17" ht="15.75" thickBot="1" x14ac:dyDescent="0.3">
      <c r="A10" s="8" t="s">
        <v>94</v>
      </c>
      <c r="B10" s="8">
        <v>9.33</v>
      </c>
      <c r="E10" s="8">
        <v>9.17</v>
      </c>
      <c r="H10" s="8">
        <v>3.17</v>
      </c>
      <c r="K10" s="8">
        <v>9.33</v>
      </c>
    </row>
    <row r="12" spans="1:17" x14ac:dyDescent="0.25">
      <c r="A12" s="18" t="s">
        <v>47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20"/>
    </row>
    <row r="13" spans="1:17" x14ac:dyDescent="0.25">
      <c r="A13" s="12" t="s">
        <v>31</v>
      </c>
      <c r="B13" s="12" t="s">
        <v>35</v>
      </c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2" t="s">
        <v>42</v>
      </c>
      <c r="J13" s="12" t="s">
        <v>43</v>
      </c>
      <c r="K13" s="12" t="s">
        <v>44</v>
      </c>
      <c r="L13" s="12" t="s">
        <v>45</v>
      </c>
      <c r="M13" s="12" t="s">
        <v>46</v>
      </c>
    </row>
    <row r="14" spans="1:17" x14ac:dyDescent="0.25">
      <c r="A14" s="12" t="s">
        <v>6</v>
      </c>
      <c r="B14" s="12">
        <f>B5/B10</f>
        <v>0.87566988210075025</v>
      </c>
      <c r="C14" s="12">
        <f>C5/B10</f>
        <v>0.94640943193997862</v>
      </c>
      <c r="D14" s="12">
        <f>D5/B10</f>
        <v>1</v>
      </c>
      <c r="E14" s="12">
        <f>E5/E10</f>
        <v>0.83642311886586695</v>
      </c>
      <c r="F14" s="12">
        <f>F5/E10</f>
        <v>0.92693565976008729</v>
      </c>
      <c r="G14" s="12">
        <f>G5/E10</f>
        <v>1</v>
      </c>
      <c r="H14" s="12">
        <f>H10/J5</f>
        <v>0.32781799379524301</v>
      </c>
      <c r="I14" s="12">
        <f>H10/I5</f>
        <v>0.34569247546346782</v>
      </c>
      <c r="J14" s="12">
        <f>H10/H5</f>
        <v>0.38800489596083232</v>
      </c>
      <c r="K14" s="12">
        <f>K5/K10</f>
        <v>0.82207931404072887</v>
      </c>
      <c r="L14" s="12">
        <f>L5/K10</f>
        <v>0.92926045016077174</v>
      </c>
      <c r="M14" s="12">
        <f>M5/K10</f>
        <v>1</v>
      </c>
    </row>
    <row r="15" spans="1:17" x14ac:dyDescent="0.25">
      <c r="A15" s="12" t="s">
        <v>10</v>
      </c>
      <c r="B15" s="12">
        <f>B6/B10</f>
        <v>0.55412647374062163</v>
      </c>
      <c r="C15" s="12">
        <f>C6/B10</f>
        <v>0.6613076098606645</v>
      </c>
      <c r="D15" s="12">
        <f>D6/B10</f>
        <v>0.73204715969989287</v>
      </c>
      <c r="E15" s="12">
        <f>E6/E10</f>
        <v>0.50926935659760086</v>
      </c>
      <c r="F15" s="12">
        <f>F6/E10</f>
        <v>0.61832061068702293</v>
      </c>
      <c r="G15" s="12">
        <f>G6/E10</f>
        <v>0.69029443838604143</v>
      </c>
      <c r="H15" s="12">
        <f>H10/J6</f>
        <v>0.43246930422919505</v>
      </c>
      <c r="I15" s="12">
        <f>H10/I6</f>
        <v>0.4752623688155922</v>
      </c>
      <c r="J15" s="12">
        <f>H10/H6</f>
        <v>0.55908289241622577</v>
      </c>
      <c r="K15" s="12">
        <f>K6/K10</f>
        <v>0.44694533762057875</v>
      </c>
      <c r="L15" s="12">
        <f>L6/K10</f>
        <v>0.55412647374062163</v>
      </c>
      <c r="M15" s="12">
        <f>M6/K10</f>
        <v>0.6613076098606645</v>
      </c>
    </row>
    <row r="16" spans="1:17" x14ac:dyDescent="0.25">
      <c r="A16" s="12" t="s">
        <v>13</v>
      </c>
      <c r="B16" s="12">
        <f>B7/B10</f>
        <v>0.44694533762057875</v>
      </c>
      <c r="C16" s="12">
        <f>C7/B10</f>
        <v>0.53590568060021437</v>
      </c>
      <c r="D16" s="12">
        <f>D7/B10</f>
        <v>0.62486602357984999</v>
      </c>
      <c r="E16" s="12">
        <f>E7/E10</f>
        <v>0.41766630316248637</v>
      </c>
      <c r="F16" s="12">
        <f>F7/E10</f>
        <v>0.50926935659760086</v>
      </c>
      <c r="G16" s="12">
        <f>G7/E10</f>
        <v>0.58124318429661948</v>
      </c>
      <c r="H16" s="12">
        <f>H10/J7</f>
        <v>0.51377633711507298</v>
      </c>
      <c r="I16" s="12">
        <f>H10/I7</f>
        <v>0.59474671669793622</v>
      </c>
      <c r="J16" s="12">
        <f>H10/H7</f>
        <v>0.73210161662817552</v>
      </c>
      <c r="K16" s="12">
        <f>K7/K10</f>
        <v>0.39335476956055732</v>
      </c>
      <c r="L16" s="12">
        <f>L7/K10</f>
        <v>0.50053590568060025</v>
      </c>
      <c r="M16" s="12">
        <f>M7/K10</f>
        <v>0.58949624866023576</v>
      </c>
    </row>
    <row r="17" spans="1:13" x14ac:dyDescent="0.25">
      <c r="A17" s="12" t="s">
        <v>16</v>
      </c>
      <c r="B17" s="12">
        <f>B8/B10</f>
        <v>0.67845659163987138</v>
      </c>
      <c r="C17" s="12">
        <f>C8/B10</f>
        <v>0.76848874598070738</v>
      </c>
      <c r="D17" s="12">
        <f>D8/B10</f>
        <v>0.83922829581993574</v>
      </c>
      <c r="E17" s="12">
        <f>E8/E10</f>
        <v>0.67284623773173391</v>
      </c>
      <c r="F17" s="12">
        <f>F8/E10</f>
        <v>0.78189749182115598</v>
      </c>
      <c r="G17" s="12">
        <f>G8/E10</f>
        <v>0.85387131952017448</v>
      </c>
      <c r="H17" s="12">
        <f>H10/J8</f>
        <v>0.61315280464216637</v>
      </c>
      <c r="I17" s="12">
        <f>H10/I8</f>
        <v>0.76019184652278182</v>
      </c>
      <c r="J17" s="12">
        <f>H10/H8</f>
        <v>1</v>
      </c>
      <c r="K17" s="12">
        <f>K8/K10</f>
        <v>0.67845659163987138</v>
      </c>
      <c r="L17" s="12">
        <f>L8/K10</f>
        <v>0.78563772775991425</v>
      </c>
      <c r="M17" s="12">
        <f>M8/K10</f>
        <v>0.87566988210075025</v>
      </c>
    </row>
    <row r="18" spans="1:13" x14ac:dyDescent="0.25">
      <c r="A18" s="13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4"/>
    </row>
    <row r="19" spans="1:13" x14ac:dyDescent="0.25">
      <c r="A19" s="15" t="s">
        <v>48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4"/>
    </row>
    <row r="20" spans="1:13" x14ac:dyDescent="0.25">
      <c r="A20" s="12" t="s">
        <v>31</v>
      </c>
      <c r="B20" s="12" t="s">
        <v>35</v>
      </c>
      <c r="C20" s="12" t="s">
        <v>36</v>
      </c>
      <c r="D20" s="12" t="s">
        <v>37</v>
      </c>
      <c r="E20" s="12" t="s">
        <v>38</v>
      </c>
      <c r="F20" s="12" t="s">
        <v>39</v>
      </c>
      <c r="G20" s="12" t="s">
        <v>40</v>
      </c>
      <c r="H20" s="12" t="s">
        <v>41</v>
      </c>
      <c r="I20" s="12" t="s">
        <v>42</v>
      </c>
      <c r="J20" s="12" t="s">
        <v>43</v>
      </c>
      <c r="K20" s="12" t="s">
        <v>44</v>
      </c>
      <c r="L20" s="12" t="s">
        <v>45</v>
      </c>
      <c r="M20" s="12" t="s">
        <v>46</v>
      </c>
    </row>
    <row r="21" spans="1:13" x14ac:dyDescent="0.25">
      <c r="A21" s="12" t="s">
        <v>6</v>
      </c>
      <c r="B21" s="12">
        <f>B14*FuzzyInput!O5</f>
        <v>0.26270096463022508</v>
      </c>
      <c r="C21" s="12">
        <f>C14*FuzzyInput!N5</f>
        <v>0.33124330117899248</v>
      </c>
      <c r="D21" s="12">
        <f>D14*FuzzyInput!P5</f>
        <v>0.4</v>
      </c>
      <c r="E21" s="12">
        <f>E14*FuzzyInput!O6</f>
        <v>0.17564885496183205</v>
      </c>
      <c r="F21" s="12">
        <f>F14*FuzzyInput!N6</f>
        <v>0.23173391494002182</v>
      </c>
      <c r="G21" s="12">
        <f>G14*FuzzyInput!P6</f>
        <v>0.28999999999999998</v>
      </c>
      <c r="H21" s="12">
        <f>H14*FuzzyInput!O7</f>
        <v>3.6059979317476731E-2</v>
      </c>
      <c r="I21" s="12">
        <f>I14*FuzzyInput!N7</f>
        <v>5.185387131952017E-2</v>
      </c>
      <c r="J21" s="12">
        <f>J14*FuzzyInput!P7</f>
        <v>7.3720930232558143E-2</v>
      </c>
      <c r="K21" s="12">
        <f>K14*FuzzyInput!O8</f>
        <v>0.17839121114683817</v>
      </c>
      <c r="L21" s="12">
        <f>L14*FuzzyInput!N8</f>
        <v>0.23231511254019294</v>
      </c>
      <c r="M21" s="12">
        <f>M14*FuzzyInput!P8</f>
        <v>0.28299999999999997</v>
      </c>
    </row>
    <row r="22" spans="1:13" x14ac:dyDescent="0.25">
      <c r="A22" s="12" t="s">
        <v>10</v>
      </c>
      <c r="B22" s="12">
        <f>B15*FuzzyInput!O5</f>
        <v>0.16623794212218648</v>
      </c>
      <c r="C22" s="12">
        <f>C15*FuzzyInput!N5</f>
        <v>0.23145766345123256</v>
      </c>
      <c r="D22" s="12">
        <f>D15*FuzzyInput!P5</f>
        <v>0.29281886387995715</v>
      </c>
      <c r="E22" s="12">
        <f>E15*FuzzyInput!O6</f>
        <v>0.10694656488549618</v>
      </c>
      <c r="F22" s="12">
        <f>F15*FuzzyInput!N6</f>
        <v>0.15458015267175573</v>
      </c>
      <c r="G22" s="12">
        <f>G15*FuzzyInput!P6</f>
        <v>0.200185387131952</v>
      </c>
      <c r="H22" s="12">
        <f>H15*FuzzyInput!O7</f>
        <v>4.7571623465211453E-2</v>
      </c>
      <c r="I22" s="12">
        <f>I15*FuzzyInput!N7</f>
        <v>7.1289355322338821E-2</v>
      </c>
      <c r="J22" s="12">
        <f>J15*FuzzyInput!P7</f>
        <v>0.1062257495590829</v>
      </c>
      <c r="K22" s="12">
        <f>K15*FuzzyInput!O8</f>
        <v>9.698713826366559E-2</v>
      </c>
      <c r="L22" s="12">
        <f>L15*FuzzyInput!N8</f>
        <v>0.13853161843515541</v>
      </c>
      <c r="M22" s="12">
        <f>M15*FuzzyInput!P8</f>
        <v>0.18715005359056805</v>
      </c>
    </row>
    <row r="23" spans="1:13" x14ac:dyDescent="0.25">
      <c r="A23" s="12" t="s">
        <v>13</v>
      </c>
      <c r="B23" s="12">
        <f>B16*FuzzyInput!O5</f>
        <v>0.13408360128617361</v>
      </c>
      <c r="C23" s="12">
        <f>C16*FuzzyInput!N5</f>
        <v>0.18756698821007503</v>
      </c>
      <c r="D23" s="12">
        <f>D16*FuzzyInput!P5</f>
        <v>0.24994640943194002</v>
      </c>
      <c r="E23" s="12">
        <f>E16*FuzzyInput!O6</f>
        <v>8.7709923664122141E-2</v>
      </c>
      <c r="F23" s="12">
        <f>F16*FuzzyInput!N6</f>
        <v>0.12731733914940022</v>
      </c>
      <c r="G23" s="12">
        <f>G16*FuzzyInput!P6</f>
        <v>0.16856052344601963</v>
      </c>
      <c r="H23" s="12">
        <f>H16*FuzzyInput!O7</f>
        <v>5.6515397082658028E-2</v>
      </c>
      <c r="I23" s="12">
        <f>I16*FuzzyInput!N7</f>
        <v>8.9212007504690424E-2</v>
      </c>
      <c r="J23" s="12">
        <f>J16*FuzzyInput!P7</f>
        <v>0.13909930715935334</v>
      </c>
      <c r="K23" s="12">
        <f>K16*FuzzyInput!O8</f>
        <v>8.5357984994640937E-2</v>
      </c>
      <c r="L23" s="12">
        <f>L16*FuzzyInput!N8</f>
        <v>0.12513397642015006</v>
      </c>
      <c r="M23" s="12">
        <f>M16*FuzzyInput!P8</f>
        <v>0.16682743837084671</v>
      </c>
    </row>
    <row r="24" spans="1:13" x14ac:dyDescent="0.25">
      <c r="A24" s="12" t="s">
        <v>16</v>
      </c>
      <c r="B24" s="12">
        <f>B17*FuzzyInput!O5</f>
        <v>0.2035369774919614</v>
      </c>
      <c r="C24" s="12">
        <f>C17*FuzzyInput!N5</f>
        <v>0.26897106109324759</v>
      </c>
      <c r="D24" s="12">
        <f>D17*FuzzyInput!P5</f>
        <v>0.33569131832797433</v>
      </c>
      <c r="E24" s="12">
        <f>E17*FuzzyInput!O6</f>
        <v>0.14129770992366411</v>
      </c>
      <c r="F24" s="12">
        <f>F17*FuzzyInput!N6</f>
        <v>0.19547437295528899</v>
      </c>
      <c r="G24" s="12">
        <f>G17*FuzzyInput!P6</f>
        <v>0.24762268266085058</v>
      </c>
      <c r="H24" s="12">
        <f>H17*FuzzyInput!O7</f>
        <v>6.7446808510638306E-2</v>
      </c>
      <c r="I24" s="12">
        <f>I17*FuzzyInput!N7</f>
        <v>0.11402877697841726</v>
      </c>
      <c r="J24" s="12">
        <f>J17*FuzzyInput!P7</f>
        <v>0.19</v>
      </c>
      <c r="K24" s="12">
        <f>K17*FuzzyInput!O8</f>
        <v>0.14722508038585208</v>
      </c>
      <c r="L24" s="12">
        <f>L17*FuzzyInput!N8</f>
        <v>0.19640943193997856</v>
      </c>
      <c r="M24" s="12">
        <f>M17*FuzzyInput!P8</f>
        <v>0.24781457663451228</v>
      </c>
    </row>
    <row r="25" spans="1:13" x14ac:dyDescent="0.25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4"/>
    </row>
    <row r="26" spans="1:13" x14ac:dyDescent="0.25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4"/>
    </row>
    <row r="27" spans="1:13" x14ac:dyDescent="0.25">
      <c r="A27" s="12" t="s">
        <v>49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 x14ac:dyDescent="0.25">
      <c r="A28" s="12" t="s">
        <v>50</v>
      </c>
      <c r="B28" s="12">
        <f>MAX(D21:D24)</f>
        <v>0.4</v>
      </c>
      <c r="C28" s="12">
        <f>MAX(D21:D24)</f>
        <v>0.4</v>
      </c>
      <c r="D28" s="12">
        <f>MAX(D21:D24)</f>
        <v>0.4</v>
      </c>
      <c r="E28" s="12">
        <f>MAX(G21:G24)</f>
        <v>0.28999999999999998</v>
      </c>
      <c r="F28" s="12">
        <f>MAX(G21:G24)</f>
        <v>0.28999999999999998</v>
      </c>
      <c r="G28" s="12">
        <f>MAX(G21:G24)</f>
        <v>0.28999999999999998</v>
      </c>
      <c r="H28" s="12">
        <f>MAX(J21:J24)</f>
        <v>0.19</v>
      </c>
      <c r="I28" s="12">
        <f>MAX(J21:J24)</f>
        <v>0.19</v>
      </c>
      <c r="J28" s="12">
        <f>MAX(J21:J24)</f>
        <v>0.19</v>
      </c>
      <c r="K28" s="12">
        <f>MAX(M21:M24)</f>
        <v>0.28299999999999997</v>
      </c>
      <c r="L28" s="12">
        <f>MAX(M21:M24)</f>
        <v>0.28299999999999997</v>
      </c>
      <c r="M28" s="12">
        <f>MAX(M21:M24)</f>
        <v>0.28299999999999997</v>
      </c>
    </row>
    <row r="29" spans="1:13" x14ac:dyDescent="0.25">
      <c r="A29" s="12" t="s">
        <v>51</v>
      </c>
      <c r="B29" s="12">
        <f>MIN(B21:B24)</f>
        <v>0.13408360128617361</v>
      </c>
      <c r="C29" s="12">
        <f>MIN(B21:B24)</f>
        <v>0.13408360128617361</v>
      </c>
      <c r="D29" s="12">
        <f>MIN(B21:B24)</f>
        <v>0.13408360128617361</v>
      </c>
      <c r="E29" s="12">
        <f>MIN(E21:E24)</f>
        <v>8.7709923664122141E-2</v>
      </c>
      <c r="F29" s="12">
        <f>MIN(E21:E24)</f>
        <v>8.7709923664122141E-2</v>
      </c>
      <c r="G29" s="12">
        <f>MIN(E21:E24)</f>
        <v>8.7709923664122141E-2</v>
      </c>
      <c r="H29" s="12">
        <f>MIN(H21:H24)</f>
        <v>3.6059979317476731E-2</v>
      </c>
      <c r="I29" s="12">
        <f>MIN(H21:H24)</f>
        <v>3.6059979317476731E-2</v>
      </c>
      <c r="J29" s="12">
        <f>MIN(H21:H24)</f>
        <v>3.6059979317476731E-2</v>
      </c>
      <c r="K29" s="12">
        <f>MIN(K21:K24)</f>
        <v>8.5357984994640937E-2</v>
      </c>
      <c r="L29" s="12">
        <f>MIN(K21:K24)</f>
        <v>8.5357984994640937E-2</v>
      </c>
      <c r="M29" s="12">
        <f>MIN(K21:K24)</f>
        <v>8.5357984994640937E-2</v>
      </c>
    </row>
    <row r="30" spans="1:13" x14ac:dyDescent="0.25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4"/>
    </row>
    <row r="31" spans="1:13" x14ac:dyDescent="0.25">
      <c r="A31" s="12" t="s">
        <v>31</v>
      </c>
      <c r="B31" s="12" t="s">
        <v>52</v>
      </c>
      <c r="C31" s="12" t="s">
        <v>53</v>
      </c>
      <c r="D31" s="12" t="s">
        <v>54</v>
      </c>
      <c r="E31" s="12" t="s">
        <v>55</v>
      </c>
      <c r="F31" s="12"/>
      <c r="G31" s="12"/>
      <c r="H31" s="12"/>
      <c r="I31" s="12"/>
      <c r="J31" s="12"/>
      <c r="K31" s="12"/>
      <c r="L31" s="12"/>
      <c r="M31" s="14"/>
    </row>
    <row r="32" spans="1:13" x14ac:dyDescent="0.25">
      <c r="A32" s="12" t="s">
        <v>6</v>
      </c>
      <c r="B32" s="12">
        <f>SQRT(AVERAGE((B21-B28)^2,(C21-C28)^2,(D21-D28)^2))+SQRT(AVERAGE((E21-E28)^2,(F21-F28)^2,(G21-G28)^2))+SQRT(AVERAGE((H21-H28)^2,(I21-I28)^2,(J21-J28)^2))+SQRT(AVERAGE((K21-K28)^2,(L21-L28)^2,(M21-M28)^2))</f>
        <v>0.36685740706891201</v>
      </c>
      <c r="C32" s="12">
        <f>SQRT(AVERAGE((B21-B29)^2,(C21-C29)^2,(D21-D29)^2))+SQRT(AVERAGE((E21-E29)^2,(F21-F29)^2,(G21-G29)^2))+SQRT(AVERAGE((H21-H29)^2,(I21-I29)^2,(J21-J29)^2))+SQRT(AVERAGE((K21-K29)^2,(L21-L29)^2,(M21-M29)^2))</f>
        <v>0.53271536784044982</v>
      </c>
      <c r="D32" s="12">
        <f>C32/(B32+C32)</f>
        <v>0.59218707224006928</v>
      </c>
      <c r="E32" s="12">
        <f>_xlfn.RANK.AVG(D32,$D$32:$D$35,0)</f>
        <v>1</v>
      </c>
      <c r="F32" s="12"/>
      <c r="G32" s="12"/>
      <c r="H32" s="12"/>
      <c r="I32" s="12"/>
      <c r="J32" s="12"/>
      <c r="K32" s="12"/>
      <c r="L32" s="12"/>
      <c r="M32" s="14"/>
    </row>
    <row r="33" spans="1:13" x14ac:dyDescent="0.25">
      <c r="A33" s="12" t="s">
        <v>10</v>
      </c>
      <c r="B33" s="12">
        <f>SQRT(AVERAGE((B22-B28)^2,(C22-C28)^2,(D22-D28)^2))+SQRT(AVERAGE((E22-E28)^2,(F22-F28)^2,(G22-G28)^2))+SQRT(AVERAGE((H22-H28)^2,(I22-I28)^2,(J22-J28)^2))+SQRT(AVERAGE((K22-K28)^2,(L22-L28)^2,(M22-M28)^2))</f>
        <v>0.58311622511897498</v>
      </c>
      <c r="C33" s="12">
        <f>SQRT(AVERAGE((B22-B29)^2,(C22-C29)^2,(D22-D29)^2))+SQRT(AVERAGE((E22-E29)^2,(F22-F29)^2,(G22-G29)^2))+SQRT(AVERAGE((H22-H29)^2,(I22-I29)^2,(J22-J29)^2))+SQRT(AVERAGE((K22-K29)^2,(L22-L29)^2,(M22-M29)^2))</f>
        <v>0.29792431209114634</v>
      </c>
      <c r="D33" s="12">
        <f>C33/(B33+C33)</f>
        <v>0.33815051579186728</v>
      </c>
      <c r="E33" s="12">
        <f t="shared" ref="E33:E35" si="0">_xlfn.RANK.AVG(D33,$D$32:$D$35,0)</f>
        <v>3</v>
      </c>
      <c r="F33" s="12"/>
      <c r="G33" s="12"/>
      <c r="H33" s="12"/>
      <c r="I33" s="12"/>
      <c r="J33" s="12"/>
      <c r="K33" s="12"/>
      <c r="L33" s="12"/>
      <c r="M33" s="14"/>
    </row>
    <row r="34" spans="1:13" x14ac:dyDescent="0.25">
      <c r="A34" s="12" t="s">
        <v>13</v>
      </c>
      <c r="B34" s="12">
        <f>SQRT(AVERAGE((B23-B28)^2,(C23-C28)^2,(D23-D28)^2))+SQRT(AVERAGE((E23-E28)^2,(F23-F28)^2,(G23-G28)^2))+SQRT(AVERAGE((H23-H28)^2,(I23-I28)^2,(J23-J28)^2))+SQRT(AVERAGE((K23-K28)^2,(L23-L28)^2,(M23-M28)^2))</f>
        <v>0.64186342109066963</v>
      </c>
      <c r="C34" s="12">
        <f>SQRT(AVERAGE((B23-B29)^2,(C23-C29)^2,(D23-D29)^2))+SQRT(AVERAGE((E23-E29)^2,(F23-F29)^2,(G23-G29)^2))+SQRT(AVERAGE((H23-H29)^2,(I23-I29)^2,(J23-J29)^2))+SQRT(AVERAGE((K23-K29)^2,(L23-L29)^2,(M23-M29)^2))</f>
        <v>0.24597115473801648</v>
      </c>
      <c r="D34" s="12">
        <f>C34/(B34+C34)</f>
        <v>0.2770461541311704</v>
      </c>
      <c r="E34" s="12">
        <f t="shared" si="0"/>
        <v>4</v>
      </c>
      <c r="F34" s="12"/>
      <c r="G34" s="12"/>
      <c r="H34" s="12"/>
      <c r="I34" s="12"/>
      <c r="J34" s="12"/>
      <c r="K34" s="12"/>
      <c r="L34" s="12"/>
      <c r="M34" s="14"/>
    </row>
    <row r="35" spans="1:13" ht="15.75" thickBot="1" x14ac:dyDescent="0.3">
      <c r="A35" s="12" t="s">
        <v>16</v>
      </c>
      <c r="B35" s="12">
        <f>SQRT(AVERAGE((B24-B28)^2,(C24-C28)^2,(D24-D28)^2))+SQRT(AVERAGE((E24-E28)^2,(F24-F28)^2,(G24-G28)^2))+SQRT(AVERAGE((H24-H28)^2,(I24-I28)^2,(J24-J28)^2))+SQRT(AVERAGE((K24-K28)^2,(L24-L28)^2,(M24-M28)^2))</f>
        <v>0.42435360093645724</v>
      </c>
      <c r="C35" s="12">
        <f>SQRT(AVERAGE((B24-B29)^2,(C24-C29)^2,(D24-D29)^2))+SQRT(AVERAGE((E24-E29)^2,(F24-F29)^2,(G24-G29)^2))+SQRT(AVERAGE((H24-H29)^2,(I24-I29)^2,(J24-J29)^2))+SQRT(AVERAGE((K24-K29)^2,(L24-L29)^2,(M24-M29)^2))</f>
        <v>0.48158614511306064</v>
      </c>
      <c r="D35" s="12">
        <f>C35/(B35+C35)</f>
        <v>0.53158739001471911</v>
      </c>
      <c r="E35" s="12">
        <f t="shared" si="0"/>
        <v>2</v>
      </c>
      <c r="F35" s="16"/>
      <c r="G35" s="16"/>
      <c r="H35" s="16"/>
      <c r="I35" s="16"/>
      <c r="J35" s="16"/>
      <c r="K35" s="16"/>
      <c r="L35" s="16"/>
      <c r="M35" s="17"/>
    </row>
  </sheetData>
  <mergeCells count="1">
    <mergeCell ref="A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zoomScaleNormal="100" zoomScaleSheetLayoutView="100" workbookViewId="0">
      <selection activeCell="A27" sqref="A27:G31"/>
    </sheetView>
  </sheetViews>
  <sheetFormatPr defaultRowHeight="15" x14ac:dyDescent="0.25"/>
  <cols>
    <col min="1" max="1" width="16" customWidth="1"/>
    <col min="2" max="6" width="12" customWidth="1"/>
    <col min="7" max="7" width="8" customWidth="1"/>
    <col min="8" max="9" width="14" customWidth="1"/>
    <col min="11" max="11" width="14" customWidth="1"/>
  </cols>
  <sheetData>
    <row r="1" spans="1:11" ht="18.75" x14ac:dyDescent="0.3">
      <c r="A1" s="4" t="s">
        <v>56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 ht="15.75" thickBot="1" x14ac:dyDescent="0.3">
      <c r="A3" s="1" t="s">
        <v>57</v>
      </c>
    </row>
    <row r="4" spans="1:11" ht="15.75" thickBot="1" x14ac:dyDescent="0.3">
      <c r="A4" s="8" t="s">
        <v>3</v>
      </c>
      <c r="B4" s="8" t="s">
        <v>7</v>
      </c>
      <c r="C4" s="8" t="s">
        <v>11</v>
      </c>
      <c r="D4" s="8" t="s">
        <v>14</v>
      </c>
      <c r="E4" s="8" t="s">
        <v>17</v>
      </c>
    </row>
    <row r="5" spans="1:11" ht="15.75" thickBot="1" x14ac:dyDescent="0.3">
      <c r="A5" s="8" t="s">
        <v>7</v>
      </c>
      <c r="B5" s="9">
        <v>1</v>
      </c>
      <c r="C5" s="9">
        <v>2</v>
      </c>
      <c r="D5" s="9">
        <v>4</v>
      </c>
      <c r="E5" s="9">
        <v>2</v>
      </c>
    </row>
    <row r="6" spans="1:11" ht="15.75" thickBot="1" x14ac:dyDescent="0.3">
      <c r="A6" s="8" t="s">
        <v>11</v>
      </c>
      <c r="B6" s="9">
        <v>0.5</v>
      </c>
      <c r="C6" s="9">
        <v>1</v>
      </c>
      <c r="D6" s="9">
        <v>2</v>
      </c>
      <c r="E6" s="9">
        <v>1</v>
      </c>
    </row>
    <row r="7" spans="1:11" ht="15.75" thickBot="1" x14ac:dyDescent="0.3">
      <c r="A7" s="8" t="s">
        <v>14</v>
      </c>
      <c r="B7" s="9">
        <v>0.25</v>
      </c>
      <c r="C7" s="9">
        <v>0.5</v>
      </c>
      <c r="D7" s="9">
        <v>1</v>
      </c>
      <c r="E7" s="9">
        <v>0.5</v>
      </c>
    </row>
    <row r="8" spans="1:11" ht="15.75" thickBot="1" x14ac:dyDescent="0.3">
      <c r="A8" s="8" t="s">
        <v>17</v>
      </c>
      <c r="B8" s="9">
        <v>0.5</v>
      </c>
      <c r="C8" s="9">
        <v>1</v>
      </c>
      <c r="D8" s="9">
        <v>2</v>
      </c>
      <c r="E8" s="9">
        <v>1</v>
      </c>
    </row>
    <row r="9" spans="1:11" ht="15.75" thickBot="1" x14ac:dyDescent="0.3">
      <c r="A9" s="8" t="s">
        <v>95</v>
      </c>
      <c r="B9" s="8">
        <v>2.25</v>
      </c>
      <c r="C9" s="8">
        <v>4.5</v>
      </c>
      <c r="D9" s="8">
        <v>9</v>
      </c>
      <c r="E9" s="8">
        <v>4.5</v>
      </c>
    </row>
    <row r="11" spans="1:11" x14ac:dyDescent="0.25">
      <c r="A11" s="1" t="s">
        <v>58</v>
      </c>
    </row>
    <row r="12" spans="1:11" x14ac:dyDescent="0.25">
      <c r="A12" t="s">
        <v>3</v>
      </c>
      <c r="B12" t="s">
        <v>7</v>
      </c>
      <c r="C12" t="s">
        <v>11</v>
      </c>
      <c r="D12" t="s">
        <v>14</v>
      </c>
      <c r="E12" t="s">
        <v>17</v>
      </c>
      <c r="F12" t="s">
        <v>59</v>
      </c>
    </row>
    <row r="13" spans="1:11" x14ac:dyDescent="0.25">
      <c r="A13" t="s">
        <v>7</v>
      </c>
      <c r="B13">
        <f>B5/B9</f>
        <v>0.44444444444444442</v>
      </c>
      <c r="C13">
        <f>C5/C9</f>
        <v>0.44444444444444442</v>
      </c>
      <c r="D13">
        <f>D5/D9</f>
        <v>0.44444444444444442</v>
      </c>
      <c r="E13">
        <f>E5/E9</f>
        <v>0.44444444444444442</v>
      </c>
      <c r="F13">
        <f>AVERAGE(B13:E13)</f>
        <v>0.44444444444444442</v>
      </c>
    </row>
    <row r="14" spans="1:11" x14ac:dyDescent="0.25">
      <c r="A14" t="s">
        <v>11</v>
      </c>
      <c r="B14">
        <f>B6/B9</f>
        <v>0.22222222222222221</v>
      </c>
      <c r="C14">
        <f>C6/C9</f>
        <v>0.22222222222222221</v>
      </c>
      <c r="D14">
        <f>D6/D9</f>
        <v>0.22222222222222221</v>
      </c>
      <c r="E14">
        <f>E6/E9</f>
        <v>0.22222222222222221</v>
      </c>
      <c r="F14">
        <f>AVERAGE(B14:E14)</f>
        <v>0.22222222222222221</v>
      </c>
    </row>
    <row r="15" spans="1:11" x14ac:dyDescent="0.25">
      <c r="A15" t="s">
        <v>14</v>
      </c>
      <c r="B15">
        <f>B7/B9</f>
        <v>0.1111111111111111</v>
      </c>
      <c r="C15">
        <f>C7/C9</f>
        <v>0.1111111111111111</v>
      </c>
      <c r="D15">
        <f>D7/D9</f>
        <v>0.1111111111111111</v>
      </c>
      <c r="E15">
        <f>E7/E9</f>
        <v>0.1111111111111111</v>
      </c>
      <c r="F15">
        <f>AVERAGE(B15:E15)</f>
        <v>0.1111111111111111</v>
      </c>
    </row>
    <row r="16" spans="1:11" x14ac:dyDescent="0.25">
      <c r="A16" t="s">
        <v>17</v>
      </c>
      <c r="B16">
        <f>B8/B9</f>
        <v>0.22222222222222221</v>
      </c>
      <c r="C16">
        <f>C8/C9</f>
        <v>0.22222222222222221</v>
      </c>
      <c r="D16">
        <f>D8/D9</f>
        <v>0.22222222222222221</v>
      </c>
      <c r="E16">
        <f>E8/E9</f>
        <v>0.22222222222222221</v>
      </c>
      <c r="F16">
        <f>AVERAGE(B16:E16)</f>
        <v>0.22222222222222221</v>
      </c>
    </row>
    <row r="18" spans="1:7" x14ac:dyDescent="0.25">
      <c r="A18" s="1" t="s">
        <v>60</v>
      </c>
    </row>
    <row r="19" spans="1:7" x14ac:dyDescent="0.25">
      <c r="A19" t="s">
        <v>61</v>
      </c>
      <c r="B19" t="s">
        <v>62</v>
      </c>
      <c r="C19" t="s">
        <v>63</v>
      </c>
    </row>
    <row r="20" spans="1:7" x14ac:dyDescent="0.25">
      <c r="A20" t="s">
        <v>7</v>
      </c>
      <c r="B20">
        <f>B5*$F$13+C5*$F$14+D5*$F$15+E5*$F$16</f>
        <v>1.7777777777777777</v>
      </c>
      <c r="C20">
        <f>B20/$F$13</f>
        <v>4</v>
      </c>
      <c r="E20" t="s">
        <v>64</v>
      </c>
      <c r="F20">
        <f>AVERAGE(C20:C23)</f>
        <v>4</v>
      </c>
    </row>
    <row r="21" spans="1:7" x14ac:dyDescent="0.25">
      <c r="A21" t="s">
        <v>11</v>
      </c>
      <c r="B21">
        <f>B6*$F$13+C6*$F$14+D6*$F$15+E6*$F$16</f>
        <v>0.88888888888888884</v>
      </c>
      <c r="C21">
        <f>B21/$F$14</f>
        <v>4</v>
      </c>
      <c r="E21" t="s">
        <v>65</v>
      </c>
      <c r="F21">
        <f>(F20-4)/(4-1)</f>
        <v>0</v>
      </c>
    </row>
    <row r="22" spans="1:7" x14ac:dyDescent="0.25">
      <c r="A22" t="s">
        <v>14</v>
      </c>
      <c r="B22">
        <f>B7*$F$13+C7*$F$14+D7*$F$15+E7*$F$16</f>
        <v>0.44444444444444442</v>
      </c>
      <c r="C22">
        <f>B22/$F$15</f>
        <v>4</v>
      </c>
      <c r="E22" t="s">
        <v>66</v>
      </c>
      <c r="F22">
        <v>0.9</v>
      </c>
    </row>
    <row r="23" spans="1:7" x14ac:dyDescent="0.25">
      <c r="A23" t="s">
        <v>17</v>
      </c>
      <c r="B23">
        <f>B8*$F$13+C8*$F$14+D8*$F$15+E8*$F$16</f>
        <v>0.88888888888888884</v>
      </c>
      <c r="C23">
        <f>B23/$F$16</f>
        <v>4</v>
      </c>
      <c r="E23" t="s">
        <v>67</v>
      </c>
      <c r="F23">
        <f>F21/F22</f>
        <v>0</v>
      </c>
    </row>
    <row r="26" spans="1:7" x14ac:dyDescent="0.25">
      <c r="A26" s="1" t="s">
        <v>68</v>
      </c>
    </row>
    <row r="27" spans="1:7" x14ac:dyDescent="0.25">
      <c r="A27" t="s">
        <v>31</v>
      </c>
      <c r="B27" t="s">
        <v>69</v>
      </c>
      <c r="C27" t="s">
        <v>70</v>
      </c>
      <c r="D27" t="s">
        <v>71</v>
      </c>
      <c r="E27" t="s">
        <v>72</v>
      </c>
      <c r="F27" t="s">
        <v>73</v>
      </c>
      <c r="G27" t="s">
        <v>55</v>
      </c>
    </row>
    <row r="28" spans="1:7" x14ac:dyDescent="0.25">
      <c r="A28" t="s">
        <v>6</v>
      </c>
      <c r="B28">
        <f>FuzzyInput!O13/(FuzzyInput!O13+FuzzyInput!O14+FuzzyInput!O15+FuzzyInput!O16)</f>
        <v>0.32578849721706865</v>
      </c>
      <c r="C28">
        <f>FuzzyInput!O17/(FuzzyInput!O17+FuzzyInput!O18+FuzzyInput!O19+FuzzyInput!O20)</f>
        <v>0.32878846902999609</v>
      </c>
      <c r="D28">
        <f>(1/FuzzyInput!O21)/(1/FuzzyInput!O21+1/FuzzyInput!O22+1/FuzzyInput!O23+1/FuzzyInput!O24)</f>
        <v>0.16039083897592821</v>
      </c>
      <c r="E28">
        <f>FuzzyInput!O25/(FuzzyInput!O25+FuzzyInput!O26+FuzzyInput!O27+FuzzyInput!O28)</f>
        <v>0.33411397345823574</v>
      </c>
      <c r="F28">
        <f>B28*$F$13+C28*$F$14+D28*$F$15+E28*$F$16</f>
        <v>0.30992774586896293</v>
      </c>
      <c r="G28">
        <f>_xlfn.RANK.EQ(F28,$F$28:$F$31,0)</f>
        <v>1</v>
      </c>
    </row>
    <row r="29" spans="1:7" x14ac:dyDescent="0.25">
      <c r="A29" t="s">
        <v>10</v>
      </c>
      <c r="B29">
        <f>FuzzyInput!O14/(FuzzyInput!O13+FuzzyInput!O14+FuzzyInput!O15+FuzzyInput!O16)</f>
        <v>0.22486085343228199</v>
      </c>
      <c r="C29">
        <f>FuzzyInput!O18/(FuzzyInput!O17+FuzzyInput!O18+FuzzyInput!O19+FuzzyInput!O20)</f>
        <v>0.21659524737047137</v>
      </c>
      <c r="D29">
        <f>(1/FuzzyInput!O22)/(1/FuzzyInput!O21+1/FuzzyInput!O22+1/FuzzyInput!O23+1/FuzzyInput!O24)</f>
        <v>0.22004840713160881</v>
      </c>
      <c r="E29">
        <f>FuzzyInput!O26/(FuzzyInput!O25+FuzzyInput!O26+FuzzyInput!O27+FuzzyInput!O28)</f>
        <v>0.20179547228727557</v>
      </c>
      <c r="F29">
        <f>B29*$F$13+C29*$F$14+D29*$F$15+E29*$F$16</f>
        <v>0.21736369557513674</v>
      </c>
      <c r="G29">
        <f t="shared" ref="G29:G31" si="0">_xlfn.RANK.EQ(F29,$F$28:$F$31,0)</f>
        <v>3</v>
      </c>
    </row>
    <row r="30" spans="1:7" x14ac:dyDescent="0.25">
      <c r="A30" t="s">
        <v>13</v>
      </c>
      <c r="B30">
        <f>FuzzyInput!O15/(FuzzyInput!O13+FuzzyInput!O14+FuzzyInput!O15+FuzzyInput!O16)</f>
        <v>0.1855287569573284</v>
      </c>
      <c r="C30">
        <f>FuzzyInput!O19/(FuzzyInput!O17+FuzzyInput!O18+FuzzyInput!O19+FuzzyInput!O20)</f>
        <v>0.1795870666147254</v>
      </c>
      <c r="D30">
        <f>(1/FuzzyInput!O23)/(1/FuzzyInput!O21+1/FuzzyInput!O22+1/FuzzyInput!O23+1/FuzzyInput!O24)</f>
        <v>0.27339347552715032</v>
      </c>
      <c r="E30">
        <f>FuzzyInput!O27/(FuzzyInput!O25+FuzzyInput!O26+FuzzyInput!O27+FuzzyInput!O28)</f>
        <v>0.17993754879000781</v>
      </c>
      <c r="F30">
        <f>B30*$F$13+C30*$F$14+D30*$F$15+E30*$F$16</f>
        <v>0.1927286371295478</v>
      </c>
      <c r="G30">
        <f t="shared" si="0"/>
        <v>4</v>
      </c>
    </row>
    <row r="31" spans="1:7" x14ac:dyDescent="0.25">
      <c r="A31" t="s">
        <v>16</v>
      </c>
      <c r="B31">
        <f>FuzzyInput!O16/(FuzzyInput!O13+FuzzyInput!O14+FuzzyInput!O15+FuzzyInput!O16)</f>
        <v>0.26382189239332099</v>
      </c>
      <c r="C31">
        <f>FuzzyInput!O20/(FuzzyInput!O17+FuzzyInput!O18+FuzzyInput!O19+FuzzyInput!O20)</f>
        <v>0.27502921698480715</v>
      </c>
      <c r="D31">
        <f>(1/FuzzyInput!O24)/(1/FuzzyInput!O21+1/FuzzyInput!O22+1/FuzzyInput!O23+1/FuzzyInput!O24)</f>
        <v>0.34616727836531269</v>
      </c>
      <c r="E31">
        <f>FuzzyInput!O28/(FuzzyInput!O25+FuzzyInput!O26+FuzzyInput!O27+FuzzyInput!O28)</f>
        <v>0.28415300546448086</v>
      </c>
      <c r="F31">
        <f>B31*$F$13+C31*$F$14+D31*$F$15+E31*$F$16</f>
        <v>0.27997992142635247</v>
      </c>
      <c r="G31">
        <f t="shared" si="0"/>
        <v>2</v>
      </c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zoomScaleNormal="100" zoomScaleSheetLayoutView="100" workbookViewId="0">
      <selection activeCell="E4" sqref="E4:G8"/>
    </sheetView>
  </sheetViews>
  <sheetFormatPr defaultRowHeight="15" x14ac:dyDescent="0.25"/>
  <cols>
    <col min="1" max="1" width="18" customWidth="1"/>
    <col min="2" max="2" width="10" customWidth="1"/>
    <col min="3" max="3" width="8" customWidth="1"/>
    <col min="5" max="5" width="18" customWidth="1"/>
    <col min="6" max="6" width="10" customWidth="1"/>
    <col min="7" max="7" width="8" customWidth="1"/>
  </cols>
  <sheetData>
    <row r="1" spans="1:8" ht="18.75" x14ac:dyDescent="0.3">
      <c r="A1" s="4" t="s">
        <v>74</v>
      </c>
      <c r="B1" s="5"/>
      <c r="C1" s="5"/>
      <c r="D1" s="5"/>
      <c r="E1" s="5"/>
      <c r="F1" s="5"/>
      <c r="G1" s="5"/>
      <c r="H1" s="5"/>
    </row>
    <row r="3" spans="1:8" x14ac:dyDescent="0.25">
      <c r="A3" s="1" t="s">
        <v>75</v>
      </c>
      <c r="E3" s="1" t="s">
        <v>76</v>
      </c>
    </row>
    <row r="4" spans="1:8" x14ac:dyDescent="0.25">
      <c r="A4" t="s">
        <v>31</v>
      </c>
      <c r="B4" t="s">
        <v>77</v>
      </c>
      <c r="C4" t="s">
        <v>55</v>
      </c>
      <c r="E4" t="s">
        <v>31</v>
      </c>
      <c r="F4" t="s">
        <v>78</v>
      </c>
      <c r="G4" t="s">
        <v>55</v>
      </c>
    </row>
    <row r="5" spans="1:8" x14ac:dyDescent="0.25">
      <c r="A5" t="s">
        <v>6</v>
      </c>
      <c r="B5">
        <f>FuzzyTOPSIS!D32</f>
        <v>0.59218707224006928</v>
      </c>
      <c r="C5">
        <f>FuzzyTOPSIS!E32</f>
        <v>1</v>
      </c>
      <c r="E5" t="s">
        <v>6</v>
      </c>
      <c r="F5">
        <f>AHP!F28</f>
        <v>0.30992774586896293</v>
      </c>
      <c r="G5">
        <f>AHP!G28</f>
        <v>1</v>
      </c>
    </row>
    <row r="6" spans="1:8" x14ac:dyDescent="0.25">
      <c r="A6" t="s">
        <v>10</v>
      </c>
      <c r="B6">
        <f>FuzzyTOPSIS!D33</f>
        <v>0.33815051579186728</v>
      </c>
      <c r="C6">
        <f>FuzzyTOPSIS!E33</f>
        <v>3</v>
      </c>
      <c r="E6" t="s">
        <v>10</v>
      </c>
      <c r="F6">
        <f>AHP!F29</f>
        <v>0.21736369557513674</v>
      </c>
      <c r="G6">
        <f>AHP!G29</f>
        <v>3</v>
      </c>
    </row>
    <row r="7" spans="1:8" x14ac:dyDescent="0.25">
      <c r="A7" t="s">
        <v>13</v>
      </c>
      <c r="B7">
        <f>FuzzyTOPSIS!D34</f>
        <v>0.2770461541311704</v>
      </c>
      <c r="C7">
        <f>FuzzyTOPSIS!E34</f>
        <v>4</v>
      </c>
      <c r="E7" t="s">
        <v>13</v>
      </c>
      <c r="F7">
        <f>AHP!F30</f>
        <v>0.1927286371295478</v>
      </c>
      <c r="G7">
        <f>AHP!G30</f>
        <v>4</v>
      </c>
    </row>
    <row r="8" spans="1:8" x14ac:dyDescent="0.25">
      <c r="A8" t="s">
        <v>16</v>
      </c>
      <c r="B8">
        <f>FuzzyTOPSIS!D35</f>
        <v>0.53158739001471911</v>
      </c>
      <c r="C8">
        <f>FuzzyTOPSIS!E35</f>
        <v>2</v>
      </c>
      <c r="E8" t="s">
        <v>16</v>
      </c>
      <c r="F8">
        <f>AHP!F31</f>
        <v>0.27997992142635247</v>
      </c>
      <c r="G8">
        <f>AHP!G31</f>
        <v>2</v>
      </c>
    </row>
    <row r="10" spans="1:8" x14ac:dyDescent="0.25">
      <c r="A10" s="7"/>
      <c r="B10" s="5"/>
      <c r="C10" s="5"/>
      <c r="D10" s="5"/>
      <c r="E10" s="5"/>
      <c r="F10" s="5"/>
      <c r="G10" s="5"/>
    </row>
    <row r="11" spans="1:8" x14ac:dyDescent="0.25">
      <c r="A11" s="5"/>
      <c r="B11" s="5"/>
      <c r="C11" s="5"/>
      <c r="D11" s="5"/>
      <c r="E11" s="5"/>
      <c r="F11" s="5"/>
      <c r="G11" s="5"/>
    </row>
  </sheetData>
  <mergeCells count="2">
    <mergeCell ref="A10:G11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Overview</vt:lpstr>
      <vt:lpstr>FuzzyInput</vt:lpstr>
      <vt:lpstr>FuzzyTOPSIS</vt:lpstr>
      <vt:lpstr>AHP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nsazo</dc:creator>
  <cp:keywords/>
  <dc:description/>
  <cp:lastModifiedBy>nsazonov.it@gmail.com</cp:lastModifiedBy>
  <cp:revision/>
  <dcterms:created xsi:type="dcterms:W3CDTF">2025-12-16T14:28:21Z</dcterms:created>
  <dcterms:modified xsi:type="dcterms:W3CDTF">2025-12-26T12:10:53Z</dcterms:modified>
  <cp:category/>
  <cp:contentStatus/>
</cp:coreProperties>
</file>