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hidden" name="__OpenSolverCache__" sheetId="2" r:id="rId5"/>
    <sheet state="hidden" name="__OpenSolver__" sheetId="3" r:id="rId6"/>
  </sheets>
  <definedNames/>
  <calcPr/>
</workbook>
</file>

<file path=xl/sharedStrings.xml><?xml version="1.0" encoding="utf-8"?>
<sst xmlns="http://schemas.openxmlformats.org/spreadsheetml/2006/main" count="48" uniqueCount="26">
  <si>
    <t>A (Задача)</t>
  </si>
  <si>
    <t>B (Участник 1)</t>
  </si>
  <si>
    <t>C (Участник 2)</t>
  </si>
  <si>
    <t>D (Участник 3)</t>
  </si>
  <si>
    <t>Столбец 1</t>
  </si>
  <si>
    <t>Задача</t>
  </si>
  <si>
    <t>Часы</t>
  </si>
  <si>
    <t>Столбец 2</t>
  </si>
  <si>
    <t>Задача 2</t>
  </si>
  <si>
    <t>У1</t>
  </si>
  <si>
    <t>У2</t>
  </si>
  <si>
    <t>У3</t>
  </si>
  <si>
    <t>Сумма</t>
  </si>
  <si>
    <t xml:space="preserve">
Итоговое значение</t>
  </si>
  <si>
    <t>Столбец 3</t>
  </si>
  <si>
    <t>T3.1</t>
  </si>
  <si>
    <t>T3.2</t>
  </si>
  <si>
    <t>T3.3</t>
  </si>
  <si>
    <t>T3.4</t>
  </si>
  <si>
    <t>T3.5</t>
  </si>
  <si>
    <t>T3.6</t>
  </si>
  <si>
    <t>T3.7</t>
  </si>
  <si>
    <t>T3.8</t>
  </si>
  <si>
    <t>T3.9</t>
  </si>
  <si>
    <t>T3.10</t>
  </si>
  <si>
    <t>T3.11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</si>
</sst>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5" pivot="0" name="Лист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219075</xdr:colOff>
      <xdr:row>0</xdr:row>
      <xdr:rowOff>114300</xdr:rowOff>
    </xdr:from>
    <xdr:ext cx="3124200" cy="8686800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1:O13" displayName="Таблица1" name="Таблица1" id="1">
  <tableColumns count="15">
    <tableColumn name="A (Задача)" id="1"/>
    <tableColumn name="B (Участник 1)" id="2"/>
    <tableColumn name="C (Участник 2)" id="3"/>
    <tableColumn name="D (Участник 3)" id="4"/>
    <tableColumn name="Столбец 1" id="5"/>
    <tableColumn name="Задача" id="6"/>
    <tableColumn totalsRowFunction="custom" name="Часы" id="7"/>
    <tableColumn name="Столбец 2" id="8"/>
    <tableColumn name="Задача 2" id="9"/>
    <tableColumn totalsRowFunction="custom" name="У1" id="10"/>
    <tableColumn totalsRowFunction="custom" name="У2" id="11"/>
    <tableColumn totalsRowFunction="custom" name="У3" id="12"/>
    <tableColumn totalsRowFunction="custom" name="Сумма" id="13"/>
    <tableColumn name="_x000a_Итоговое значение" id="14"/>
    <tableColumn name="Столбец 3" id="15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4" width="16.88"/>
    <col customWidth="1" min="5" max="5" width="13.5"/>
    <col customWidth="1" min="8" max="8" width="13.38"/>
    <col customWidth="1" min="14" max="14" width="20.5"/>
    <col customWidth="1" min="15" max="15" width="13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</row>
    <row r="2" ht="22.5" customHeight="1">
      <c r="A2" s="4" t="s">
        <v>15</v>
      </c>
      <c r="B2" s="4">
        <v>4.0</v>
      </c>
      <c r="C2" s="4">
        <v>2.0</v>
      </c>
      <c r="D2" s="4">
        <v>5.0</v>
      </c>
      <c r="F2" s="4" t="s">
        <v>15</v>
      </c>
      <c r="G2" s="4">
        <v>6.0</v>
      </c>
      <c r="I2" s="4" t="s">
        <v>15</v>
      </c>
      <c r="J2" s="4">
        <v>0.0</v>
      </c>
      <c r="K2" s="4">
        <v>0.0</v>
      </c>
      <c r="L2" s="4">
        <v>1.0</v>
      </c>
      <c r="M2" s="5">
        <f t="shared" ref="M2:M12" si="1">SUM(J2,K2,L2)
</f>
        <v>1</v>
      </c>
      <c r="N2" s="5">
        <f>SUMPRODUCT(J2:L12,B2:D12)
</f>
        <v>54</v>
      </c>
      <c r="P2" s="6">
        <v>1.0</v>
      </c>
    </row>
    <row r="3" ht="22.5" customHeight="1">
      <c r="A3" s="4" t="s">
        <v>16</v>
      </c>
      <c r="B3" s="4">
        <v>2.0</v>
      </c>
      <c r="C3" s="4">
        <v>5.0</v>
      </c>
      <c r="D3" s="4">
        <v>3.0</v>
      </c>
      <c r="F3" s="4" t="s">
        <v>16</v>
      </c>
      <c r="G3" s="4">
        <v>2.0</v>
      </c>
      <c r="I3" s="4" t="s">
        <v>16</v>
      </c>
      <c r="J3" s="4">
        <v>0.0</v>
      </c>
      <c r="K3" s="4">
        <v>1.0</v>
      </c>
      <c r="L3" s="4">
        <v>0.0</v>
      </c>
      <c r="M3" s="5">
        <f t="shared" si="1"/>
        <v>1</v>
      </c>
      <c r="P3" s="6">
        <v>14.0</v>
      </c>
    </row>
    <row r="4" ht="22.5" customHeight="1">
      <c r="A4" s="4" t="s">
        <v>17</v>
      </c>
      <c r="B4" s="4">
        <v>3.0</v>
      </c>
      <c r="C4" s="4">
        <v>5.0</v>
      </c>
      <c r="D4" s="4">
        <v>4.0</v>
      </c>
      <c r="F4" s="4" t="s">
        <v>17</v>
      </c>
      <c r="G4" s="4">
        <v>3.2</v>
      </c>
      <c r="I4" s="4" t="s">
        <v>17</v>
      </c>
      <c r="J4" s="4">
        <v>0.0</v>
      </c>
      <c r="K4" s="4">
        <v>1.0</v>
      </c>
      <c r="L4" s="4">
        <v>0.0</v>
      </c>
      <c r="M4" s="5">
        <f t="shared" si="1"/>
        <v>1</v>
      </c>
    </row>
    <row r="5" ht="22.5" customHeight="1">
      <c r="A5" s="4" t="s">
        <v>18</v>
      </c>
      <c r="B5" s="4">
        <v>2.0</v>
      </c>
      <c r="C5" s="4">
        <v>4.0</v>
      </c>
      <c r="D5" s="4">
        <v>3.0</v>
      </c>
      <c r="F5" s="4" t="s">
        <v>18</v>
      </c>
      <c r="G5" s="4">
        <v>2.0</v>
      </c>
      <c r="I5" s="4" t="s">
        <v>18</v>
      </c>
      <c r="J5" s="4">
        <v>0.0</v>
      </c>
      <c r="K5" s="4">
        <v>1.0</v>
      </c>
      <c r="L5" s="4">
        <v>0.0</v>
      </c>
      <c r="M5" s="5">
        <f t="shared" si="1"/>
        <v>1</v>
      </c>
    </row>
    <row r="6" ht="22.5" customHeight="1">
      <c r="A6" s="4" t="s">
        <v>19</v>
      </c>
      <c r="B6" s="4">
        <v>3.0</v>
      </c>
      <c r="C6" s="4">
        <v>5.0</v>
      </c>
      <c r="D6" s="4">
        <v>4.0</v>
      </c>
      <c r="F6" s="4" t="s">
        <v>19</v>
      </c>
      <c r="G6" s="4">
        <v>3.0</v>
      </c>
      <c r="I6" s="4" t="s">
        <v>19</v>
      </c>
      <c r="J6" s="4">
        <v>0.0</v>
      </c>
      <c r="K6" s="4">
        <v>1.0</v>
      </c>
      <c r="L6" s="4">
        <v>0.0</v>
      </c>
      <c r="M6" s="5">
        <f t="shared" si="1"/>
        <v>1</v>
      </c>
    </row>
    <row r="7" ht="22.5" customHeight="1">
      <c r="A7" s="4" t="s">
        <v>20</v>
      </c>
      <c r="B7" s="4">
        <v>5.0</v>
      </c>
      <c r="C7" s="4">
        <v>3.0</v>
      </c>
      <c r="D7" s="4">
        <v>4.0</v>
      </c>
      <c r="F7" s="4" t="s">
        <v>20</v>
      </c>
      <c r="G7" s="4">
        <v>2.0</v>
      </c>
      <c r="I7" s="4" t="s">
        <v>20</v>
      </c>
      <c r="J7" s="4">
        <v>1.0</v>
      </c>
      <c r="K7" s="4">
        <v>0.0</v>
      </c>
      <c r="L7" s="4">
        <v>0.0</v>
      </c>
      <c r="M7" s="5">
        <f t="shared" si="1"/>
        <v>1</v>
      </c>
    </row>
    <row r="8" ht="22.5" customHeight="1">
      <c r="A8" s="4" t="s">
        <v>21</v>
      </c>
      <c r="B8" s="4">
        <v>5.0</v>
      </c>
      <c r="C8" s="4">
        <v>3.0</v>
      </c>
      <c r="D8" s="4">
        <v>5.0</v>
      </c>
      <c r="F8" s="4" t="s">
        <v>21</v>
      </c>
      <c r="G8" s="4">
        <v>2.0</v>
      </c>
      <c r="I8" s="4" t="s">
        <v>21</v>
      </c>
      <c r="J8" s="4">
        <v>1.0</v>
      </c>
      <c r="K8" s="4">
        <v>0.0</v>
      </c>
      <c r="L8" s="4">
        <v>0.0</v>
      </c>
      <c r="M8" s="5">
        <f t="shared" si="1"/>
        <v>1</v>
      </c>
    </row>
    <row r="9" ht="22.5" customHeight="1">
      <c r="A9" s="4" t="s">
        <v>22</v>
      </c>
      <c r="B9" s="4">
        <v>4.0</v>
      </c>
      <c r="C9" s="4">
        <v>3.0</v>
      </c>
      <c r="D9" s="4">
        <v>5.0</v>
      </c>
      <c r="F9" s="4" t="s">
        <v>22</v>
      </c>
      <c r="G9" s="4">
        <v>1.2</v>
      </c>
      <c r="I9" s="4" t="s">
        <v>22</v>
      </c>
      <c r="J9" s="4">
        <v>0.0</v>
      </c>
      <c r="K9" s="4">
        <v>0.0</v>
      </c>
      <c r="L9" s="4">
        <v>1.0</v>
      </c>
      <c r="M9" s="5">
        <f t="shared" si="1"/>
        <v>1</v>
      </c>
    </row>
    <row r="10" ht="22.5" customHeight="1">
      <c r="A10" s="4" t="s">
        <v>23</v>
      </c>
      <c r="B10" s="4">
        <v>5.0</v>
      </c>
      <c r="C10" s="4">
        <v>4.0</v>
      </c>
      <c r="D10" s="4">
        <v>5.0</v>
      </c>
      <c r="F10" s="4" t="s">
        <v>23</v>
      </c>
      <c r="G10" s="4">
        <v>3.0</v>
      </c>
      <c r="I10" s="4" t="s">
        <v>23</v>
      </c>
      <c r="J10" s="4">
        <v>1.0</v>
      </c>
      <c r="K10" s="4">
        <v>0.0</v>
      </c>
      <c r="L10" s="4">
        <v>0.0</v>
      </c>
      <c r="M10" s="5">
        <f t="shared" si="1"/>
        <v>1</v>
      </c>
    </row>
    <row r="11" ht="22.5" customHeight="1">
      <c r="A11" s="4" t="s">
        <v>24</v>
      </c>
      <c r="B11" s="4">
        <v>5.0</v>
      </c>
      <c r="C11" s="4">
        <v>4.0</v>
      </c>
      <c r="D11" s="4">
        <v>5.0</v>
      </c>
      <c r="F11" s="4" t="s">
        <v>24</v>
      </c>
      <c r="G11" s="4">
        <v>3.2</v>
      </c>
      <c r="I11" s="4" t="s">
        <v>24</v>
      </c>
      <c r="J11" s="4">
        <v>1.0</v>
      </c>
      <c r="K11" s="4">
        <v>0.0</v>
      </c>
      <c r="L11" s="4">
        <v>0.0</v>
      </c>
      <c r="M11" s="5">
        <f t="shared" si="1"/>
        <v>1</v>
      </c>
    </row>
    <row r="12" ht="22.5" customHeight="1">
      <c r="A12" s="4" t="s">
        <v>25</v>
      </c>
      <c r="B12" s="4">
        <v>4.0</v>
      </c>
      <c r="C12" s="4">
        <v>3.0</v>
      </c>
      <c r="D12" s="4">
        <v>5.0</v>
      </c>
      <c r="F12" s="4" t="s">
        <v>25</v>
      </c>
      <c r="G12" s="4">
        <v>4.0</v>
      </c>
      <c r="I12" s="4" t="s">
        <v>25</v>
      </c>
      <c r="J12" s="4">
        <v>0.0</v>
      </c>
      <c r="K12" s="4">
        <v>0.0</v>
      </c>
      <c r="L12" s="4">
        <v>1.0</v>
      </c>
      <c r="M12" s="5">
        <f t="shared" si="1"/>
        <v>1</v>
      </c>
    </row>
    <row r="13" ht="22.5" customHeight="1">
      <c r="G13" s="5">
        <f>SUM(G2:G12
)</f>
        <v>31.6</v>
      </c>
      <c r="J13" s="5">
        <f t="shared" ref="J13:L13" si="2">SUMPRODUCT(J2:J12,$G$2:$G$12)
</f>
        <v>10.2</v>
      </c>
      <c r="K13" s="5">
        <f t="shared" si="2"/>
        <v>10.2</v>
      </c>
      <c r="L13" s="5">
        <f t="shared" si="2"/>
        <v>11.2</v>
      </c>
      <c r="M13" s="4">
        <f>SUM(M2:M12
)</f>
        <v>11</v>
      </c>
    </row>
    <row r="14">
      <c r="A14" s="7"/>
      <c r="B14" s="7"/>
      <c r="C14" s="7"/>
      <c r="D14" s="7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tr">
        <f>ModelSheet='Лист1'!A:Z</f>
        <v>#NAME?</v>
      </c>
    </row>
    <row r="2">
      <c r="A2" s="9" t="str">
        <f>OpenSolver_AdjNum=1</f>
        <v>#NAME?</v>
      </c>
    </row>
    <row r="3">
      <c r="A3" s="9" t="str">
        <f>OpenSolver_ChosenSolver=Google</f>
        <v>#NAME?</v>
      </c>
    </row>
    <row r="4">
      <c r="A4" s="9" t="str">
        <f>OpenSolver_FastBuild=0</f>
        <v>#NAME?</v>
      </c>
    </row>
    <row r="5">
      <c r="A5" s="9" t="str">
        <f>OpenSolver_LinearityCheck=1</f>
        <v>#NAME?</v>
      </c>
    </row>
    <row r="6">
      <c r="A6" s="9" t="str">
        <f>solver_adj='Лист1'!J2:L12</f>
        <v>#NAME?</v>
      </c>
    </row>
    <row r="7">
      <c r="A7" s="9" t="str">
        <f>solver_lhs1='Лист1'!M2:M12</f>
        <v>#NAME?</v>
      </c>
    </row>
    <row r="8">
      <c r="A8" s="9" t="str">
        <f>solver_lhs2='Лист1'!J13</f>
        <v>#NAME?</v>
      </c>
    </row>
    <row r="9">
      <c r="A9" s="9" t="str">
        <f>solver_lhs3='Лист1'!K13</f>
        <v>#NAME?</v>
      </c>
    </row>
    <row r="10">
      <c r="A10" s="9" t="str">
        <f>solver_lhs4='Лист1'!L13</f>
        <v>#NAME?</v>
      </c>
    </row>
    <row r="11">
      <c r="A11" s="9" t="str">
        <f>solver_lhs5='Лист1'!J2:L12</f>
        <v>#NAME?</v>
      </c>
    </row>
    <row r="12">
      <c r="A12" s="9" t="str">
        <f>solver_neg=1</f>
        <v>#NAME?</v>
      </c>
    </row>
    <row r="13">
      <c r="A13" s="9" t="str">
        <f>solver_num=5</f>
        <v>#NAME?</v>
      </c>
    </row>
    <row r="14">
      <c r="A14" s="9" t="str">
        <f>solver_opt='Лист1'!N2</f>
        <v>#NAME?</v>
      </c>
    </row>
    <row r="15">
      <c r="A15" s="9" t="str">
        <f>solver_rel1=2</f>
        <v>#NAME?</v>
      </c>
    </row>
    <row r="16">
      <c r="A16" s="9" t="str">
        <f>solver_rel2=1</f>
        <v>#NAME?</v>
      </c>
    </row>
    <row r="17">
      <c r="A17" s="9" t="str">
        <f>solver_rel3=1</f>
        <v>#NAME?</v>
      </c>
    </row>
    <row r="18">
      <c r="A18" s="9" t="str">
        <f>solver_rel4=1</f>
        <v>#NAME?</v>
      </c>
    </row>
    <row r="19">
      <c r="A19" s="9" t="str">
        <f>solver_rel5=5</f>
        <v>#NAME?</v>
      </c>
    </row>
    <row r="20">
      <c r="A20" s="9" t="str">
        <f>solver_rhs1='Лист1'!P2</f>
        <v>#NAME?</v>
      </c>
    </row>
    <row r="21">
      <c r="A21" s="9" t="str">
        <f>solver_rhs2='Лист1'!P3</f>
        <v>#NAME?</v>
      </c>
    </row>
    <row r="22">
      <c r="A22" s="9" t="str">
        <f>solver_rhs3='Лист1'!P3</f>
        <v>#NAME?</v>
      </c>
    </row>
    <row r="23">
      <c r="A23" s="9" t="str">
        <f>solver_rhs4='Лист1'!P3</f>
        <v>#NAME?</v>
      </c>
    </row>
    <row r="24">
      <c r="A24" s="9" t="str">
        <f>solver_rhs5=binary</f>
        <v>#NAME?</v>
      </c>
    </row>
    <row r="25">
      <c r="A25" s="9" t="str">
        <f>solver_sho=1</f>
        <v>#NAME?</v>
      </c>
    </row>
    <row r="26">
      <c r="A26" s="9" t="str">
        <f>solver_typ=1</f>
        <v>#NAME?</v>
      </c>
    </row>
    <row r="27">
      <c r="A27" s="9" t="str">
        <f>solver_val=0</f>
        <v>#NAME?</v>
      </c>
    </row>
  </sheetData>
  <drawing r:id="rId1"/>
</worksheet>
</file>