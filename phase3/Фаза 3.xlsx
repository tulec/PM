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<sst xmlns="http://schemas.openxmlformats.org/spreadsheetml/2006/main" count="143" uniqueCount="67">
  <si>
    <t>Код</t>
  </si>
  <si>
    <t>Use Case</t>
  </si>
  <si>
    <t>E</t>
  </si>
  <si>
    <t>R</t>
  </si>
  <si>
    <t>W</t>
  </si>
  <si>
    <t>X</t>
  </si>
  <si>
    <t>CFP</t>
  </si>
  <si>
    <t>Краткое описание</t>
  </si>
  <si>
    <t>UC</t>
  </si>
  <si>
    <t>Александр</t>
  </si>
  <si>
    <t>Никита</t>
  </si>
  <si>
    <t>Кирилл</t>
  </si>
  <si>
    <t>SP соглас.</t>
  </si>
  <si>
    <t>UC1</t>
  </si>
  <si>
    <t>Сканирование продуктов</t>
  </si>
  <si>
    <t>Сканирование продуктов в холодильнике</t>
  </si>
  <si>
    <t>Фото содержимого холодильника и распознавание продуктов</t>
  </si>
  <si>
    <t>UC2</t>
  </si>
  <si>
    <t>Ручное добавление</t>
  </si>
  <si>
    <t>Ручное добавление продуктов</t>
  </si>
  <si>
    <t>Добавление продукта, не распознанного автоматически</t>
  </si>
  <si>
    <t>UC3</t>
  </si>
  <si>
    <t>Сканирование чека</t>
  </si>
  <si>
    <t>OCR-распознавание продуктов из чека магазина</t>
  </si>
  <si>
    <t>UC4</t>
  </si>
  <si>
    <t>Управление кладовкой</t>
  </si>
  <si>
    <t>Управление виртуальной кладовкой</t>
  </si>
  <si>
    <t>Хранение и обновление списка продуктов</t>
  </si>
  <si>
    <t>Виртуальная кладовка</t>
  </si>
  <si>
    <t>UC5</t>
  </si>
  <si>
    <t>Генерация рецептов (100%)</t>
  </si>
  <si>
    <t>Генерация рецептов (100% совпадение)</t>
  </si>
  <si>
    <t>Подбор блюд только из имеющихся продуктов</t>
  </si>
  <si>
    <t>UC6</t>
  </si>
  <si>
    <t>Генерация рецептов (80%)</t>
  </si>
  <si>
    <t>Генерация рецептов (частичная докупка)</t>
  </si>
  <si>
    <t>Подбор блюд с минимальной покупкой</t>
  </si>
  <si>
    <t>UC7</t>
  </si>
  <si>
    <t>Фильтрация рецептов</t>
  </si>
  <si>
    <t>Фильтры по диете, времени готовки, предпочтениям</t>
  </si>
  <si>
    <t>UC8</t>
  </si>
  <si>
    <t>Просмотр рецепта</t>
  </si>
  <si>
    <t>Просмотр пошагового рецепта</t>
  </si>
  <si>
    <t>Отображение инструкции приготовления</t>
  </si>
  <si>
    <t>UC9</t>
  </si>
  <si>
    <t>Списание продуктов</t>
  </si>
  <si>
    <t>Списание использованных продуктов</t>
  </si>
  <si>
    <t>Обновление остатков после готовки</t>
  </si>
  <si>
    <t>UC10</t>
  </si>
  <si>
    <t>Уведомления</t>
  </si>
  <si>
    <t>Уведомление о сроках годности</t>
  </si>
  <si>
    <t>Напоминания об истекающих продуктах</t>
  </si>
  <si>
    <t>UC11</t>
  </si>
  <si>
    <t>Интеграция с доставкой</t>
  </si>
  <si>
    <t>Интеграция с сервисом доставки</t>
  </si>
  <si>
    <t>Заказ недостающих ингредиентов</t>
  </si>
  <si>
    <t>UC12</t>
  </si>
  <si>
    <t>Offline-режим</t>
  </si>
  <si>
    <t>Работа в offline-режиме</t>
  </si>
  <si>
    <t>Ограниченный доступ без интернета</t>
  </si>
  <si>
    <t>Итого:</t>
  </si>
  <si>
    <t>Сложность</t>
  </si>
  <si>
    <t>Вес</t>
  </si>
  <si>
    <t>Сложный</t>
  </si>
  <si>
    <t>Простой</t>
  </si>
  <si>
    <t>Средний</t>
  </si>
  <si>
    <t>Уведомления о сроках годности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</si>
</sst>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righ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righ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5" pivot="0" name="Лист1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Лист1-style 2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5" pivot="0" name="Лист1-style 3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Лист1-style 4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ref="A1:G14" displayName="COSMIC_Function_Points" name="COSMIC_Function_Points" id="1">
  <tableColumns count="7">
    <tableColumn name="Код" id="1"/>
    <tableColumn name="Use Case" id="2"/>
    <tableColumn name="E" id="3"/>
    <tableColumn name="R" id="4"/>
    <tableColumn name="W" id="5"/>
    <tableColumn totalsRowLabel="Итого:" name="X" id="6"/>
    <tableColumn totalsRowFunction="custom" name="CFP" id="7"/>
  </tableColumns>
  <tableStyleInfo name="Лист1-style" showColumnStripes="0" showFirstColumn="1" showLastColumn="1" showRowStripes="1"/>
</table>
</file>

<file path=xl/tables/table2.xml><?xml version="1.0" encoding="utf-8"?>
<table xmlns="http://schemas.openxmlformats.org/spreadsheetml/2006/main" ref="H1:J13" displayName="Перечень_Use_Cases" name="Перечень_Use_Cases" id="2">
  <tableColumns count="3">
    <tableColumn name="Код" id="1"/>
    <tableColumn name="Use Case" id="2"/>
    <tableColumn name="Краткое описание" id="3"/>
  </tableColumns>
  <tableStyleInfo name="Лист1-style 2" showColumnStripes="0" showFirstColumn="1" showLastColumn="1" showRowStripes="1"/>
</table>
</file>

<file path=xl/tables/table3.xml><?xml version="1.0" encoding="utf-8"?>
<table xmlns="http://schemas.openxmlformats.org/spreadsheetml/2006/main" totalsRowCount="1" ref="L1:Q14" displayName="Planning_Poker" name="Planning_Poker" id="3">
  <tableColumns count="6">
    <tableColumn name="UC" id="1"/>
    <tableColumn name="Use Case" id="2"/>
    <tableColumn name="Александр" id="3"/>
    <tableColumn name="Никита" id="4"/>
    <tableColumn totalsRowLabel="Итого:" name="Кирилл" id="5"/>
    <tableColumn totalsRowFunction="custom" name="SP соглас." id="6"/>
  </tableColumns>
  <tableStyleInfo name="Лист1-style 3" showColumnStripes="0" showFirstColumn="1" showLastColumn="1" showRowStripes="1"/>
</table>
</file>

<file path=xl/tables/table4.xml><?xml version="1.0" encoding="utf-8"?>
<table xmlns="http://schemas.openxmlformats.org/spreadsheetml/2006/main" totalsRowCount="1" ref="A15:D28" displayName="UCP" name="UCP" id="4">
  <tableColumns count="4">
    <tableColumn name="Код" id="1"/>
    <tableColumn name="Use Case" id="2"/>
    <tableColumn totalsRowLabel="Итого:" name="Сложность" id="3"/>
    <tableColumn totalsRowFunction="custom" name="Вес" id="4"/>
  </tableColumns>
  <tableStyleInfo name="Лист1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4.88"/>
    <col customWidth="1" min="3" max="3" width="11.88"/>
    <col customWidth="1" min="5" max="5" width="12.5"/>
    <col customWidth="1" min="6" max="6" width="11.13"/>
    <col customWidth="1" min="7" max="7" width="12.5"/>
    <col customWidth="1" min="9" max="9" width="35.38"/>
    <col customWidth="1" min="10" max="10" width="52.88"/>
    <col customWidth="1" min="12" max="12" width="11.13"/>
    <col customWidth="1" min="13" max="13" width="29.13"/>
    <col customWidth="1" min="14" max="16" width="13.13"/>
    <col customWidth="1" min="17" max="17" width="16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0</v>
      </c>
      <c r="I1" s="1" t="s">
        <v>1</v>
      </c>
      <c r="J1" s="1" t="s">
        <v>7</v>
      </c>
      <c r="L1" s="1" t="s">
        <v>8</v>
      </c>
      <c r="M1" s="1" t="s">
        <v>1</v>
      </c>
      <c r="N1" s="2" t="s">
        <v>9</v>
      </c>
      <c r="O1" s="2" t="s">
        <v>10</v>
      </c>
      <c r="P1" s="2" t="s">
        <v>11</v>
      </c>
      <c r="Q1" s="2" t="s">
        <v>12</v>
      </c>
    </row>
    <row r="2" ht="22.5" customHeight="1">
      <c r="A2" s="3" t="s">
        <v>13</v>
      </c>
      <c r="B2" s="3" t="s">
        <v>14</v>
      </c>
      <c r="C2" s="4">
        <v>1.0</v>
      </c>
      <c r="D2" s="4">
        <v>1.0</v>
      </c>
      <c r="E2" s="4">
        <v>1.0</v>
      </c>
      <c r="F2" s="4">
        <v>1.0</v>
      </c>
      <c r="G2" s="4">
        <f t="shared" ref="G2:G13" si="1">C2+D2+E2+F2</f>
        <v>4</v>
      </c>
      <c r="H2" s="3" t="s">
        <v>13</v>
      </c>
      <c r="I2" s="3" t="s">
        <v>15</v>
      </c>
      <c r="J2" s="3" t="s">
        <v>16</v>
      </c>
      <c r="L2" s="3" t="s">
        <v>13</v>
      </c>
      <c r="M2" s="3" t="s">
        <v>14</v>
      </c>
      <c r="N2" s="4">
        <v>13.0</v>
      </c>
      <c r="O2" s="4">
        <v>13.0</v>
      </c>
      <c r="P2" s="4">
        <v>8.0</v>
      </c>
      <c r="Q2" s="4">
        <v>13.0</v>
      </c>
    </row>
    <row r="3" ht="22.5" customHeight="1">
      <c r="A3" s="3" t="s">
        <v>17</v>
      </c>
      <c r="B3" s="3" t="s">
        <v>18</v>
      </c>
      <c r="C3" s="4">
        <v>1.0</v>
      </c>
      <c r="D3" s="4">
        <v>0.0</v>
      </c>
      <c r="E3" s="4">
        <v>1.0</v>
      </c>
      <c r="F3" s="4">
        <v>1.0</v>
      </c>
      <c r="G3" s="4">
        <f t="shared" si="1"/>
        <v>3</v>
      </c>
      <c r="H3" s="3" t="s">
        <v>17</v>
      </c>
      <c r="I3" s="3" t="s">
        <v>19</v>
      </c>
      <c r="J3" s="3" t="s">
        <v>20</v>
      </c>
      <c r="L3" s="3" t="s">
        <v>17</v>
      </c>
      <c r="M3" s="3" t="s">
        <v>18</v>
      </c>
      <c r="N3" s="4">
        <v>3.0</v>
      </c>
      <c r="O3" s="4">
        <v>5.0</v>
      </c>
      <c r="P3" s="4">
        <v>3.0</v>
      </c>
      <c r="Q3" s="4">
        <v>3.0</v>
      </c>
    </row>
    <row r="4" ht="22.5" customHeight="1">
      <c r="A4" s="3" t="s">
        <v>21</v>
      </c>
      <c r="B4" s="3" t="s">
        <v>22</v>
      </c>
      <c r="C4" s="4">
        <v>1.0</v>
      </c>
      <c r="D4" s="4">
        <v>1.0</v>
      </c>
      <c r="E4" s="4">
        <v>1.0</v>
      </c>
      <c r="F4" s="4">
        <v>1.0</v>
      </c>
      <c r="G4" s="4">
        <f t="shared" si="1"/>
        <v>4</v>
      </c>
      <c r="H4" s="3" t="s">
        <v>21</v>
      </c>
      <c r="I4" s="3" t="s">
        <v>22</v>
      </c>
      <c r="J4" s="3" t="s">
        <v>23</v>
      </c>
      <c r="L4" s="3" t="s">
        <v>21</v>
      </c>
      <c r="M4" s="3" t="s">
        <v>22</v>
      </c>
      <c r="N4" s="4">
        <v>8.0</v>
      </c>
      <c r="O4" s="4">
        <v>13.0</v>
      </c>
      <c r="P4" s="4">
        <v>8.0</v>
      </c>
      <c r="Q4" s="4">
        <v>8.0</v>
      </c>
    </row>
    <row r="5" ht="22.5" customHeight="1">
      <c r="A5" s="3" t="s">
        <v>24</v>
      </c>
      <c r="B5" s="3" t="s">
        <v>25</v>
      </c>
      <c r="C5" s="4">
        <v>0.0</v>
      </c>
      <c r="D5" s="4">
        <v>1.0</v>
      </c>
      <c r="E5" s="4">
        <v>1.0</v>
      </c>
      <c r="F5" s="4">
        <v>1.0</v>
      </c>
      <c r="G5" s="4">
        <f t="shared" si="1"/>
        <v>3</v>
      </c>
      <c r="H5" s="3" t="s">
        <v>24</v>
      </c>
      <c r="I5" s="3" t="s">
        <v>26</v>
      </c>
      <c r="J5" s="3" t="s">
        <v>27</v>
      </c>
      <c r="L5" s="3" t="s">
        <v>24</v>
      </c>
      <c r="M5" s="3" t="s">
        <v>28</v>
      </c>
      <c r="N5" s="4">
        <v>5.0</v>
      </c>
      <c r="O5" s="4">
        <v>8.0</v>
      </c>
      <c r="P5" s="4">
        <v>5.0</v>
      </c>
      <c r="Q5" s="4">
        <v>5.0</v>
      </c>
    </row>
    <row r="6" ht="22.5" customHeight="1">
      <c r="A6" s="3" t="s">
        <v>29</v>
      </c>
      <c r="B6" s="3" t="s">
        <v>30</v>
      </c>
      <c r="C6" s="4">
        <v>1.0</v>
      </c>
      <c r="D6" s="4">
        <v>2.0</v>
      </c>
      <c r="E6" s="4">
        <v>0.0</v>
      </c>
      <c r="F6" s="4">
        <v>1.0</v>
      </c>
      <c r="G6" s="4">
        <f t="shared" si="1"/>
        <v>4</v>
      </c>
      <c r="H6" s="3" t="s">
        <v>29</v>
      </c>
      <c r="I6" s="3" t="s">
        <v>31</v>
      </c>
      <c r="J6" s="3" t="s">
        <v>32</v>
      </c>
      <c r="L6" s="3" t="s">
        <v>29</v>
      </c>
      <c r="M6" s="3" t="s">
        <v>30</v>
      </c>
      <c r="N6" s="4">
        <v>13.0</v>
      </c>
      <c r="O6" s="4">
        <v>13.0</v>
      </c>
      <c r="P6" s="4">
        <v>21.0</v>
      </c>
      <c r="Q6" s="4">
        <v>13.0</v>
      </c>
    </row>
    <row r="7" ht="22.5" customHeight="1">
      <c r="A7" s="3" t="s">
        <v>33</v>
      </c>
      <c r="B7" s="3" t="s">
        <v>34</v>
      </c>
      <c r="C7" s="4">
        <v>1.0</v>
      </c>
      <c r="D7" s="4">
        <v>2.0</v>
      </c>
      <c r="E7" s="4">
        <v>0.0</v>
      </c>
      <c r="F7" s="4">
        <v>1.0</v>
      </c>
      <c r="G7" s="4">
        <f t="shared" si="1"/>
        <v>4</v>
      </c>
      <c r="H7" s="3" t="s">
        <v>33</v>
      </c>
      <c r="I7" s="3" t="s">
        <v>35</v>
      </c>
      <c r="J7" s="3" t="s">
        <v>36</v>
      </c>
      <c r="L7" s="3" t="s">
        <v>33</v>
      </c>
      <c r="M7" s="3" t="s">
        <v>34</v>
      </c>
      <c r="N7" s="4">
        <v>13.0</v>
      </c>
      <c r="O7" s="4">
        <v>21.0</v>
      </c>
      <c r="P7" s="4">
        <v>13.0</v>
      </c>
      <c r="Q7" s="4">
        <v>13.0</v>
      </c>
    </row>
    <row r="8" ht="22.5" customHeight="1">
      <c r="A8" s="3" t="s">
        <v>37</v>
      </c>
      <c r="B8" s="3" t="s">
        <v>38</v>
      </c>
      <c r="C8" s="4">
        <v>1.0</v>
      </c>
      <c r="D8" s="4">
        <v>1.0</v>
      </c>
      <c r="E8" s="4">
        <v>0.0</v>
      </c>
      <c r="F8" s="4">
        <v>1.0</v>
      </c>
      <c r="G8" s="4">
        <f t="shared" si="1"/>
        <v>3</v>
      </c>
      <c r="H8" s="3" t="s">
        <v>37</v>
      </c>
      <c r="I8" s="3" t="s">
        <v>38</v>
      </c>
      <c r="J8" s="3" t="s">
        <v>39</v>
      </c>
      <c r="L8" s="3" t="s">
        <v>37</v>
      </c>
      <c r="M8" s="3" t="s">
        <v>38</v>
      </c>
      <c r="N8" s="4">
        <v>8.0</v>
      </c>
      <c r="O8" s="4">
        <v>8.0</v>
      </c>
      <c r="P8" s="4">
        <v>5.0</v>
      </c>
      <c r="Q8" s="4">
        <v>8.0</v>
      </c>
    </row>
    <row r="9" ht="22.5" customHeight="1">
      <c r="A9" s="3" t="s">
        <v>40</v>
      </c>
      <c r="B9" s="3" t="s">
        <v>41</v>
      </c>
      <c r="C9" s="4">
        <v>0.0</v>
      </c>
      <c r="D9" s="4">
        <v>1.0</v>
      </c>
      <c r="E9" s="4">
        <v>0.0</v>
      </c>
      <c r="F9" s="4">
        <v>1.0</v>
      </c>
      <c r="G9" s="4">
        <f t="shared" si="1"/>
        <v>2</v>
      </c>
      <c r="H9" s="3" t="s">
        <v>40</v>
      </c>
      <c r="I9" s="3" t="s">
        <v>42</v>
      </c>
      <c r="J9" s="3" t="s">
        <v>43</v>
      </c>
      <c r="L9" s="3" t="s">
        <v>40</v>
      </c>
      <c r="M9" s="3" t="s">
        <v>41</v>
      </c>
      <c r="N9" s="4">
        <v>5.0</v>
      </c>
      <c r="O9" s="4">
        <v>3.0</v>
      </c>
      <c r="P9" s="4">
        <v>5.0</v>
      </c>
      <c r="Q9" s="4">
        <v>5.0</v>
      </c>
    </row>
    <row r="10" ht="22.5" customHeight="1">
      <c r="A10" s="3" t="s">
        <v>44</v>
      </c>
      <c r="B10" s="3" t="s">
        <v>45</v>
      </c>
      <c r="C10" s="4">
        <v>0.0</v>
      </c>
      <c r="D10" s="4">
        <v>1.0</v>
      </c>
      <c r="E10" s="4">
        <v>1.0</v>
      </c>
      <c r="F10" s="4">
        <v>1.0</v>
      </c>
      <c r="G10" s="4">
        <f t="shared" si="1"/>
        <v>3</v>
      </c>
      <c r="H10" s="3" t="s">
        <v>44</v>
      </c>
      <c r="I10" s="3" t="s">
        <v>46</v>
      </c>
      <c r="J10" s="3" t="s">
        <v>47</v>
      </c>
      <c r="L10" s="3" t="s">
        <v>44</v>
      </c>
      <c r="M10" s="3" t="s">
        <v>45</v>
      </c>
      <c r="N10" s="4">
        <v>8.0</v>
      </c>
      <c r="O10" s="4">
        <v>5.0</v>
      </c>
      <c r="P10" s="4">
        <v>8.0</v>
      </c>
      <c r="Q10" s="4">
        <v>8.0</v>
      </c>
    </row>
    <row r="11" ht="22.5" customHeight="1">
      <c r="A11" s="3" t="s">
        <v>48</v>
      </c>
      <c r="B11" s="3" t="s">
        <v>49</v>
      </c>
      <c r="C11" s="4">
        <v>0.0</v>
      </c>
      <c r="D11" s="4">
        <v>1.0</v>
      </c>
      <c r="E11" s="4">
        <v>0.0</v>
      </c>
      <c r="F11" s="4">
        <v>1.0</v>
      </c>
      <c r="G11" s="4">
        <f t="shared" si="1"/>
        <v>2</v>
      </c>
      <c r="H11" s="3" t="s">
        <v>48</v>
      </c>
      <c r="I11" s="3" t="s">
        <v>50</v>
      </c>
      <c r="J11" s="3" t="s">
        <v>51</v>
      </c>
      <c r="L11" s="3" t="s">
        <v>48</v>
      </c>
      <c r="M11" s="3" t="s">
        <v>49</v>
      </c>
      <c r="N11" s="4">
        <v>5.0</v>
      </c>
      <c r="O11" s="4">
        <v>3.0</v>
      </c>
      <c r="P11" s="4">
        <v>5.0</v>
      </c>
      <c r="Q11" s="4">
        <v>5.0</v>
      </c>
    </row>
    <row r="12" ht="22.5" customHeight="1">
      <c r="A12" s="3" t="s">
        <v>52</v>
      </c>
      <c r="B12" s="3" t="s">
        <v>53</v>
      </c>
      <c r="C12" s="4">
        <v>1.0</v>
      </c>
      <c r="D12" s="4">
        <v>1.0</v>
      </c>
      <c r="E12" s="4">
        <v>1.0</v>
      </c>
      <c r="F12" s="4">
        <v>1.0</v>
      </c>
      <c r="G12" s="4">
        <f t="shared" si="1"/>
        <v>4</v>
      </c>
      <c r="H12" s="3" t="s">
        <v>52</v>
      </c>
      <c r="I12" s="3" t="s">
        <v>54</v>
      </c>
      <c r="J12" s="3" t="s">
        <v>55</v>
      </c>
      <c r="L12" s="3" t="s">
        <v>52</v>
      </c>
      <c r="M12" s="3" t="s">
        <v>53</v>
      </c>
      <c r="N12" s="4">
        <v>20.0</v>
      </c>
      <c r="O12" s="4">
        <v>21.0</v>
      </c>
      <c r="P12" s="4">
        <v>19.0</v>
      </c>
      <c r="Q12" s="4">
        <v>21.0</v>
      </c>
    </row>
    <row r="13" ht="22.5" customHeight="1">
      <c r="A13" s="3" t="s">
        <v>56</v>
      </c>
      <c r="B13" s="3" t="s">
        <v>57</v>
      </c>
      <c r="C13" s="4">
        <v>0.0</v>
      </c>
      <c r="D13" s="4">
        <v>1.0</v>
      </c>
      <c r="E13" s="4">
        <v>0.0</v>
      </c>
      <c r="F13" s="4">
        <v>1.0</v>
      </c>
      <c r="G13" s="4">
        <f t="shared" si="1"/>
        <v>2</v>
      </c>
      <c r="H13" s="3" t="s">
        <v>56</v>
      </c>
      <c r="I13" s="3" t="s">
        <v>58</v>
      </c>
      <c r="J13" s="3" t="s">
        <v>59</v>
      </c>
      <c r="L13" s="3" t="s">
        <v>56</v>
      </c>
      <c r="M13" s="3" t="s">
        <v>57</v>
      </c>
      <c r="N13" s="4">
        <v>5.0</v>
      </c>
      <c r="O13" s="4">
        <v>3.0</v>
      </c>
      <c r="P13" s="4">
        <v>5.0</v>
      </c>
      <c r="Q13" s="4">
        <v>5.0</v>
      </c>
    </row>
    <row r="14" ht="22.5" customHeight="1">
      <c r="A14" s="5"/>
      <c r="B14" s="5"/>
      <c r="C14" s="5"/>
      <c r="D14" s="5"/>
      <c r="E14" s="5"/>
      <c r="F14" s="6" t="s">
        <v>60</v>
      </c>
      <c r="G14" s="7">
        <f>SUM(COSMIC_Function_Points[CFP])</f>
        <v>38</v>
      </c>
      <c r="L14" s="5"/>
      <c r="M14" s="5"/>
      <c r="N14" s="5"/>
      <c r="O14" s="5"/>
      <c r="P14" s="6" t="s">
        <v>60</v>
      </c>
      <c r="Q14" s="7">
        <f>SUM(Planning_Poker[SP соглас.])</f>
        <v>107</v>
      </c>
    </row>
    <row r="15" ht="22.5" customHeight="1">
      <c r="A15" s="2" t="s">
        <v>0</v>
      </c>
      <c r="B15" s="1" t="s">
        <v>1</v>
      </c>
      <c r="C15" s="1" t="s">
        <v>61</v>
      </c>
      <c r="D15" s="2" t="s">
        <v>62</v>
      </c>
    </row>
    <row r="16" ht="22.5" customHeight="1">
      <c r="A16" s="8" t="s">
        <v>13</v>
      </c>
      <c r="B16" s="3" t="s">
        <v>15</v>
      </c>
      <c r="C16" s="3" t="s">
        <v>63</v>
      </c>
      <c r="D16" s="8">
        <v>15.0</v>
      </c>
    </row>
    <row r="17" ht="22.5" customHeight="1">
      <c r="A17" s="8" t="s">
        <v>17</v>
      </c>
      <c r="B17" s="3" t="s">
        <v>19</v>
      </c>
      <c r="C17" s="3" t="s">
        <v>64</v>
      </c>
      <c r="D17" s="8">
        <v>5.0</v>
      </c>
    </row>
    <row r="18" ht="22.5" customHeight="1">
      <c r="A18" s="8" t="s">
        <v>21</v>
      </c>
      <c r="B18" s="3" t="s">
        <v>22</v>
      </c>
      <c r="C18" s="3" t="s">
        <v>65</v>
      </c>
      <c r="D18" s="8">
        <v>10.0</v>
      </c>
    </row>
    <row r="19" ht="22.5" customHeight="1">
      <c r="A19" s="8" t="s">
        <v>24</v>
      </c>
      <c r="B19" s="3" t="s">
        <v>26</v>
      </c>
      <c r="C19" s="3" t="s">
        <v>65</v>
      </c>
      <c r="D19" s="8">
        <v>10.0</v>
      </c>
    </row>
    <row r="20" ht="22.5" customHeight="1">
      <c r="A20" s="8" t="s">
        <v>29</v>
      </c>
      <c r="B20" s="3" t="s">
        <v>31</v>
      </c>
      <c r="C20" s="3" t="s">
        <v>63</v>
      </c>
      <c r="D20" s="8">
        <v>15.0</v>
      </c>
    </row>
    <row r="21" ht="22.5" customHeight="1">
      <c r="A21" s="8" t="s">
        <v>33</v>
      </c>
      <c r="B21" s="3" t="s">
        <v>35</v>
      </c>
      <c r="C21" s="3" t="s">
        <v>63</v>
      </c>
      <c r="D21" s="8">
        <v>15.0</v>
      </c>
    </row>
    <row r="22" ht="22.5" customHeight="1">
      <c r="A22" s="8" t="s">
        <v>37</v>
      </c>
      <c r="B22" s="3" t="s">
        <v>38</v>
      </c>
      <c r="C22" s="3" t="s">
        <v>65</v>
      </c>
      <c r="D22" s="8">
        <v>10.0</v>
      </c>
    </row>
    <row r="23" ht="22.5" customHeight="1">
      <c r="A23" s="8" t="s">
        <v>40</v>
      </c>
      <c r="B23" s="3" t="s">
        <v>42</v>
      </c>
      <c r="C23" s="3" t="s">
        <v>64</v>
      </c>
      <c r="D23" s="8">
        <v>5.0</v>
      </c>
    </row>
    <row r="24" ht="22.5" customHeight="1">
      <c r="A24" s="8" t="s">
        <v>44</v>
      </c>
      <c r="B24" s="3" t="s">
        <v>46</v>
      </c>
      <c r="C24" s="3" t="s">
        <v>65</v>
      </c>
      <c r="D24" s="8">
        <v>10.0</v>
      </c>
    </row>
    <row r="25" ht="22.5" customHeight="1">
      <c r="A25" s="8" t="s">
        <v>48</v>
      </c>
      <c r="B25" s="3" t="s">
        <v>66</v>
      </c>
      <c r="C25" s="3" t="s">
        <v>64</v>
      </c>
      <c r="D25" s="8">
        <v>5.0</v>
      </c>
    </row>
    <row r="26" ht="22.5" customHeight="1">
      <c r="A26" s="8" t="s">
        <v>52</v>
      </c>
      <c r="B26" s="3" t="s">
        <v>54</v>
      </c>
      <c r="C26" s="3" t="s">
        <v>63</v>
      </c>
      <c r="D26" s="8">
        <v>15.0</v>
      </c>
    </row>
    <row r="27" ht="22.5" customHeight="1">
      <c r="A27" s="8" t="s">
        <v>56</v>
      </c>
      <c r="B27" s="3" t="s">
        <v>58</v>
      </c>
      <c r="C27" s="3" t="s">
        <v>64</v>
      </c>
      <c r="D27" s="8">
        <v>5.0</v>
      </c>
    </row>
    <row r="28" ht="22.5" customHeight="1">
      <c r="A28" s="6"/>
      <c r="B28" s="9"/>
      <c r="C28" s="6" t="s">
        <v>60</v>
      </c>
      <c r="D28" s="10">
        <f>SUM(UCP[])</f>
        <v>120</v>
      </c>
    </row>
  </sheetData>
  <dataValidations>
    <dataValidation type="custom" allowBlank="1" showDropDown="1" sqref="C2:G13 N2:Q13">
      <formula1>AND(ISNUMBER(C2),(NOT(OR(NOT(ISERROR(DATEVALUE(C2))), AND(ISNUMBER(C2), LEFT(CELL("format", C2))="D")))))</formula1>
    </dataValidation>
  </dataValidations>
  <drawing r:id="rId1"/>
  <tableParts count="4">
    <tablePart r:id="rId6"/>
    <tablePart r:id="rId7"/>
    <tablePart r:id="rId8"/>
    <tablePart r:id="rId9"/>
  </tableParts>
</worksheet>
</file>